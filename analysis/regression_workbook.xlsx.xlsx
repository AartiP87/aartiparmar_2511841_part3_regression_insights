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Part 3\"/>
    </mc:Choice>
  </mc:AlternateContent>
  <bookViews>
    <workbookView xWindow="0" yWindow="0" windowWidth="19200" windowHeight="7190"/>
  </bookViews>
  <sheets>
    <sheet name="store_performance" sheetId="1" r:id="rId1"/>
    <sheet name="cleaned_data" sheetId="3" r:id="rId2"/>
    <sheet name="simple_regression_1" sheetId="5" r:id="rId3"/>
    <sheet name="simple_regression_2" sheetId="6" r:id="rId4"/>
    <sheet name="dummy_variables" sheetId="4" r:id="rId5"/>
    <sheet name="multiple_regression" sheetId="7" r:id="rId6"/>
    <sheet name="model_sheet" sheetId="8" r:id="rId7"/>
    <sheet name="predictions_and_residuals" sheetId="9" r:id="rId8"/>
    <sheet name="model_comparison_sheet" sheetId="10" r:id="rId9"/>
    <sheet name="data_dictionary" sheetId="2" r:id="rId10"/>
  </sheets>
  <definedNames>
    <definedName name="_xlnm._FilterDatabase" localSheetId="1" hidden="1">cleaned_data!$A$1:$O$321</definedName>
    <definedName name="_xlnm._FilterDatabase" localSheetId="4" hidden="1">dummy_variables!$A$1:$S$321</definedName>
    <definedName name="_xlnm._FilterDatabase" localSheetId="7" hidden="1">predictions_and_residuals!$A$1:$C$321</definedName>
  </definedNames>
  <calcPr calcId="152511"/>
</workbook>
</file>

<file path=xl/calcChain.xml><?xml version="1.0" encoding="utf-8"?>
<calcChain xmlns="http://schemas.openxmlformats.org/spreadsheetml/2006/main">
  <c r="Q3" i="4" l="1"/>
  <c r="R3" i="4"/>
  <c r="S3" i="4"/>
  <c r="Q4" i="4"/>
  <c r="R4" i="4"/>
  <c r="S4" i="4"/>
  <c r="Q5" i="4"/>
  <c r="R5" i="4"/>
  <c r="S5" i="4"/>
  <c r="Q6" i="4"/>
  <c r="R6" i="4"/>
  <c r="S6" i="4"/>
  <c r="Q7" i="4"/>
  <c r="R7" i="4"/>
  <c r="S7" i="4"/>
  <c r="Q8" i="4"/>
  <c r="R8" i="4"/>
  <c r="S8" i="4"/>
  <c r="Q9" i="4"/>
  <c r="R9" i="4"/>
  <c r="S9" i="4"/>
  <c r="Q10" i="4"/>
  <c r="R10" i="4"/>
  <c r="S10" i="4"/>
  <c r="Q11" i="4"/>
  <c r="R11" i="4"/>
  <c r="S11" i="4"/>
  <c r="Q12" i="4"/>
  <c r="R12" i="4"/>
  <c r="S12" i="4"/>
  <c r="Q13" i="4"/>
  <c r="R13" i="4"/>
  <c r="S13" i="4"/>
  <c r="Q14" i="4"/>
  <c r="R14" i="4"/>
  <c r="S14" i="4"/>
  <c r="Q15" i="4"/>
  <c r="R15" i="4"/>
  <c r="S15" i="4"/>
  <c r="Q16" i="4"/>
  <c r="R16" i="4"/>
  <c r="S16" i="4"/>
  <c r="Q17" i="4"/>
  <c r="R17" i="4"/>
  <c r="S17" i="4"/>
  <c r="Q18" i="4"/>
  <c r="R18" i="4"/>
  <c r="S18" i="4"/>
  <c r="Q19" i="4"/>
  <c r="R19" i="4"/>
  <c r="S19" i="4"/>
  <c r="Q20" i="4"/>
  <c r="R20" i="4"/>
  <c r="S20" i="4"/>
  <c r="Q21" i="4"/>
  <c r="R21" i="4"/>
  <c r="S21" i="4"/>
  <c r="Q22" i="4"/>
  <c r="R22" i="4"/>
  <c r="S22" i="4"/>
  <c r="Q23" i="4"/>
  <c r="R23" i="4"/>
  <c r="S23" i="4"/>
  <c r="Q24" i="4"/>
  <c r="R24" i="4"/>
  <c r="S24" i="4"/>
  <c r="Q25" i="4"/>
  <c r="R25" i="4"/>
  <c r="S25" i="4"/>
  <c r="Q26" i="4"/>
  <c r="R26" i="4"/>
  <c r="S26" i="4"/>
  <c r="Q27" i="4"/>
  <c r="R27" i="4"/>
  <c r="S27" i="4"/>
  <c r="Q28" i="4"/>
  <c r="R28" i="4"/>
  <c r="S28" i="4"/>
  <c r="Q29" i="4"/>
  <c r="R29" i="4"/>
  <c r="S29" i="4"/>
  <c r="Q30" i="4"/>
  <c r="R30" i="4"/>
  <c r="S30" i="4"/>
  <c r="Q31" i="4"/>
  <c r="R31" i="4"/>
  <c r="S31" i="4"/>
  <c r="Q32" i="4"/>
  <c r="R32" i="4"/>
  <c r="S32" i="4"/>
  <c r="Q33" i="4"/>
  <c r="R33" i="4"/>
  <c r="S33" i="4"/>
  <c r="Q34" i="4"/>
  <c r="R34" i="4"/>
  <c r="S34" i="4"/>
  <c r="Q35" i="4"/>
  <c r="R35" i="4"/>
  <c r="S35" i="4"/>
  <c r="Q36" i="4"/>
  <c r="R36" i="4"/>
  <c r="S36" i="4"/>
  <c r="Q37" i="4"/>
  <c r="R37" i="4"/>
  <c r="S37" i="4"/>
  <c r="Q38" i="4"/>
  <c r="R38" i="4"/>
  <c r="S38" i="4"/>
  <c r="Q39" i="4"/>
  <c r="R39" i="4"/>
  <c r="S39" i="4"/>
  <c r="Q40" i="4"/>
  <c r="R40" i="4"/>
  <c r="S40" i="4"/>
  <c r="Q41" i="4"/>
  <c r="R41" i="4"/>
  <c r="S41" i="4"/>
  <c r="Q42" i="4"/>
  <c r="R42" i="4"/>
  <c r="S42" i="4"/>
  <c r="Q43" i="4"/>
  <c r="R43" i="4"/>
  <c r="S43" i="4"/>
  <c r="Q44" i="4"/>
  <c r="R44" i="4"/>
  <c r="S44" i="4"/>
  <c r="Q45" i="4"/>
  <c r="R45" i="4"/>
  <c r="S45" i="4"/>
  <c r="Q46" i="4"/>
  <c r="R46" i="4"/>
  <c r="S46" i="4"/>
  <c r="Q47" i="4"/>
  <c r="R47" i="4"/>
  <c r="S47" i="4"/>
  <c r="Q48" i="4"/>
  <c r="R48" i="4"/>
  <c r="S48" i="4"/>
  <c r="Q49" i="4"/>
  <c r="R49" i="4"/>
  <c r="S49" i="4"/>
  <c r="Q50" i="4"/>
  <c r="R50" i="4"/>
  <c r="S50" i="4"/>
  <c r="Q51" i="4"/>
  <c r="R51" i="4"/>
  <c r="S51" i="4"/>
  <c r="Q52" i="4"/>
  <c r="R52" i="4"/>
  <c r="S52" i="4"/>
  <c r="Q53" i="4"/>
  <c r="R53" i="4"/>
  <c r="S53" i="4"/>
  <c r="Q54" i="4"/>
  <c r="R54" i="4"/>
  <c r="S54" i="4"/>
  <c r="Q55" i="4"/>
  <c r="R55" i="4"/>
  <c r="S55" i="4"/>
  <c r="Q56" i="4"/>
  <c r="R56" i="4"/>
  <c r="S56" i="4"/>
  <c r="Q57" i="4"/>
  <c r="R57" i="4"/>
  <c r="S57" i="4"/>
  <c r="Q58" i="4"/>
  <c r="R58" i="4"/>
  <c r="S58" i="4"/>
  <c r="Q59" i="4"/>
  <c r="R59" i="4"/>
  <c r="S59" i="4"/>
  <c r="Q60" i="4"/>
  <c r="R60" i="4"/>
  <c r="S60" i="4"/>
  <c r="Q61" i="4"/>
  <c r="R61" i="4"/>
  <c r="S61" i="4"/>
  <c r="Q62" i="4"/>
  <c r="R62" i="4"/>
  <c r="S62" i="4"/>
  <c r="Q63" i="4"/>
  <c r="R63" i="4"/>
  <c r="S63" i="4"/>
  <c r="Q64" i="4"/>
  <c r="R64" i="4"/>
  <c r="S64" i="4"/>
  <c r="Q65" i="4"/>
  <c r="R65" i="4"/>
  <c r="S65" i="4"/>
  <c r="Q66" i="4"/>
  <c r="R66" i="4"/>
  <c r="S66" i="4"/>
  <c r="Q67" i="4"/>
  <c r="R67" i="4"/>
  <c r="S67" i="4"/>
  <c r="Q68" i="4"/>
  <c r="R68" i="4"/>
  <c r="S68" i="4"/>
  <c r="Q69" i="4"/>
  <c r="R69" i="4"/>
  <c r="S69" i="4"/>
  <c r="Q70" i="4"/>
  <c r="R70" i="4"/>
  <c r="S70" i="4"/>
  <c r="Q71" i="4"/>
  <c r="R71" i="4"/>
  <c r="S71" i="4"/>
  <c r="Q72" i="4"/>
  <c r="R72" i="4"/>
  <c r="S72" i="4"/>
  <c r="Q73" i="4"/>
  <c r="R73" i="4"/>
  <c r="S73" i="4"/>
  <c r="Q74" i="4"/>
  <c r="R74" i="4"/>
  <c r="S74" i="4"/>
  <c r="Q75" i="4"/>
  <c r="R75" i="4"/>
  <c r="S75" i="4"/>
  <c r="Q76" i="4"/>
  <c r="R76" i="4"/>
  <c r="S76" i="4"/>
  <c r="Q77" i="4"/>
  <c r="R77" i="4"/>
  <c r="S77" i="4"/>
  <c r="Q78" i="4"/>
  <c r="R78" i="4"/>
  <c r="S78" i="4"/>
  <c r="Q79" i="4"/>
  <c r="R79" i="4"/>
  <c r="S79" i="4"/>
  <c r="Q80" i="4"/>
  <c r="R80" i="4"/>
  <c r="S80" i="4"/>
  <c r="Q81" i="4"/>
  <c r="R81" i="4"/>
  <c r="S81" i="4"/>
  <c r="Q82" i="4"/>
  <c r="R82" i="4"/>
  <c r="S82" i="4"/>
  <c r="Q83" i="4"/>
  <c r="R83" i="4"/>
  <c r="S83" i="4"/>
  <c r="Q84" i="4"/>
  <c r="R84" i="4"/>
  <c r="S84" i="4"/>
  <c r="Q85" i="4"/>
  <c r="R85" i="4"/>
  <c r="S85" i="4"/>
  <c r="Q86" i="4"/>
  <c r="R86" i="4"/>
  <c r="S86" i="4"/>
  <c r="Q87" i="4"/>
  <c r="R87" i="4"/>
  <c r="S87" i="4"/>
  <c r="Q88" i="4"/>
  <c r="R88" i="4"/>
  <c r="S88" i="4"/>
  <c r="Q89" i="4"/>
  <c r="R89" i="4"/>
  <c r="S89" i="4"/>
  <c r="Q90" i="4"/>
  <c r="R90" i="4"/>
  <c r="S90" i="4"/>
  <c r="Q91" i="4"/>
  <c r="R91" i="4"/>
  <c r="S91" i="4"/>
  <c r="Q92" i="4"/>
  <c r="R92" i="4"/>
  <c r="S92" i="4"/>
  <c r="Q93" i="4"/>
  <c r="R93" i="4"/>
  <c r="S93" i="4"/>
  <c r="Q94" i="4"/>
  <c r="R94" i="4"/>
  <c r="S94" i="4"/>
  <c r="Q95" i="4"/>
  <c r="R95" i="4"/>
  <c r="S95" i="4"/>
  <c r="Q96" i="4"/>
  <c r="R96" i="4"/>
  <c r="S96" i="4"/>
  <c r="Q97" i="4"/>
  <c r="R97" i="4"/>
  <c r="S97" i="4"/>
  <c r="Q98" i="4"/>
  <c r="R98" i="4"/>
  <c r="S98" i="4"/>
  <c r="Q99" i="4"/>
  <c r="R99" i="4"/>
  <c r="S99" i="4"/>
  <c r="Q100" i="4"/>
  <c r="R100" i="4"/>
  <c r="S100" i="4"/>
  <c r="Q101" i="4"/>
  <c r="R101" i="4"/>
  <c r="S101" i="4"/>
  <c r="Q102" i="4"/>
  <c r="R102" i="4"/>
  <c r="S102" i="4"/>
  <c r="Q103" i="4"/>
  <c r="R103" i="4"/>
  <c r="S103" i="4"/>
  <c r="Q104" i="4"/>
  <c r="R104" i="4"/>
  <c r="S104" i="4"/>
  <c r="Q105" i="4"/>
  <c r="R105" i="4"/>
  <c r="S105" i="4"/>
  <c r="Q106" i="4"/>
  <c r="R106" i="4"/>
  <c r="S106" i="4"/>
  <c r="Q107" i="4"/>
  <c r="R107" i="4"/>
  <c r="S107" i="4"/>
  <c r="Q108" i="4"/>
  <c r="R108" i="4"/>
  <c r="S108" i="4"/>
  <c r="Q109" i="4"/>
  <c r="R109" i="4"/>
  <c r="S109" i="4"/>
  <c r="Q110" i="4"/>
  <c r="R110" i="4"/>
  <c r="S110" i="4"/>
  <c r="Q111" i="4"/>
  <c r="R111" i="4"/>
  <c r="S111" i="4"/>
  <c r="Q112" i="4"/>
  <c r="R112" i="4"/>
  <c r="S112" i="4"/>
  <c r="Q113" i="4"/>
  <c r="R113" i="4"/>
  <c r="S113" i="4"/>
  <c r="Q114" i="4"/>
  <c r="R114" i="4"/>
  <c r="S114" i="4"/>
  <c r="Q115" i="4"/>
  <c r="R115" i="4"/>
  <c r="S115" i="4"/>
  <c r="Q116" i="4"/>
  <c r="R116" i="4"/>
  <c r="S116" i="4"/>
  <c r="Q117" i="4"/>
  <c r="R117" i="4"/>
  <c r="S117" i="4"/>
  <c r="Q118" i="4"/>
  <c r="R118" i="4"/>
  <c r="S118" i="4"/>
  <c r="Q119" i="4"/>
  <c r="R119" i="4"/>
  <c r="S119" i="4"/>
  <c r="Q120" i="4"/>
  <c r="R120" i="4"/>
  <c r="S120" i="4"/>
  <c r="Q121" i="4"/>
  <c r="R121" i="4"/>
  <c r="S121" i="4"/>
  <c r="Q122" i="4"/>
  <c r="R122" i="4"/>
  <c r="S122" i="4"/>
  <c r="Q123" i="4"/>
  <c r="R123" i="4"/>
  <c r="S123" i="4"/>
  <c r="Q124" i="4"/>
  <c r="R124" i="4"/>
  <c r="S124" i="4"/>
  <c r="Q125" i="4"/>
  <c r="R125" i="4"/>
  <c r="S125" i="4"/>
  <c r="Q126" i="4"/>
  <c r="R126" i="4"/>
  <c r="S126" i="4"/>
  <c r="Q127" i="4"/>
  <c r="R127" i="4"/>
  <c r="S127" i="4"/>
  <c r="Q128" i="4"/>
  <c r="R128" i="4"/>
  <c r="S128" i="4"/>
  <c r="Q129" i="4"/>
  <c r="R129" i="4"/>
  <c r="S129" i="4"/>
  <c r="Q130" i="4"/>
  <c r="R130" i="4"/>
  <c r="S130" i="4"/>
  <c r="Q131" i="4"/>
  <c r="R131" i="4"/>
  <c r="S131" i="4"/>
  <c r="Q132" i="4"/>
  <c r="R132" i="4"/>
  <c r="S132" i="4"/>
  <c r="Q133" i="4"/>
  <c r="R133" i="4"/>
  <c r="S133" i="4"/>
  <c r="Q134" i="4"/>
  <c r="R134" i="4"/>
  <c r="S134" i="4"/>
  <c r="Q135" i="4"/>
  <c r="R135" i="4"/>
  <c r="S135" i="4"/>
  <c r="Q136" i="4"/>
  <c r="R136" i="4"/>
  <c r="S136" i="4"/>
  <c r="Q137" i="4"/>
  <c r="R137" i="4"/>
  <c r="S137" i="4"/>
  <c r="Q138" i="4"/>
  <c r="R138" i="4"/>
  <c r="S138" i="4"/>
  <c r="Q139" i="4"/>
  <c r="R139" i="4"/>
  <c r="S139" i="4"/>
  <c r="Q140" i="4"/>
  <c r="R140" i="4"/>
  <c r="S140" i="4"/>
  <c r="Q141" i="4"/>
  <c r="R141" i="4"/>
  <c r="S141" i="4"/>
  <c r="Q142" i="4"/>
  <c r="R142" i="4"/>
  <c r="S142" i="4"/>
  <c r="Q143" i="4"/>
  <c r="R143" i="4"/>
  <c r="S143" i="4"/>
  <c r="Q144" i="4"/>
  <c r="R144" i="4"/>
  <c r="S144" i="4"/>
  <c r="Q145" i="4"/>
  <c r="R145" i="4"/>
  <c r="S145" i="4"/>
  <c r="Q146" i="4"/>
  <c r="R146" i="4"/>
  <c r="S146" i="4"/>
  <c r="Q147" i="4"/>
  <c r="R147" i="4"/>
  <c r="S147" i="4"/>
  <c r="Q148" i="4"/>
  <c r="R148" i="4"/>
  <c r="S148" i="4"/>
  <c r="Q149" i="4"/>
  <c r="R149" i="4"/>
  <c r="S149" i="4"/>
  <c r="Q150" i="4"/>
  <c r="R150" i="4"/>
  <c r="S150" i="4"/>
  <c r="Q151" i="4"/>
  <c r="R151" i="4"/>
  <c r="S151" i="4"/>
  <c r="Q152" i="4"/>
  <c r="R152" i="4"/>
  <c r="S152" i="4"/>
  <c r="Q153" i="4"/>
  <c r="R153" i="4"/>
  <c r="S153" i="4"/>
  <c r="Q154" i="4"/>
  <c r="R154" i="4"/>
  <c r="S154" i="4"/>
  <c r="Q155" i="4"/>
  <c r="R155" i="4"/>
  <c r="S155" i="4"/>
  <c r="Q156" i="4"/>
  <c r="R156" i="4"/>
  <c r="S156" i="4"/>
  <c r="Q157" i="4"/>
  <c r="R157" i="4"/>
  <c r="S157" i="4"/>
  <c r="Q158" i="4"/>
  <c r="R158" i="4"/>
  <c r="S158" i="4"/>
  <c r="Q159" i="4"/>
  <c r="R159" i="4"/>
  <c r="S159" i="4"/>
  <c r="Q160" i="4"/>
  <c r="R160" i="4"/>
  <c r="S160" i="4"/>
  <c r="Q161" i="4"/>
  <c r="R161" i="4"/>
  <c r="S161" i="4"/>
  <c r="Q162" i="4"/>
  <c r="R162" i="4"/>
  <c r="S162" i="4"/>
  <c r="Q163" i="4"/>
  <c r="R163" i="4"/>
  <c r="S163" i="4"/>
  <c r="Q164" i="4"/>
  <c r="R164" i="4"/>
  <c r="S164" i="4"/>
  <c r="Q165" i="4"/>
  <c r="R165" i="4"/>
  <c r="S165" i="4"/>
  <c r="Q166" i="4"/>
  <c r="R166" i="4"/>
  <c r="S166" i="4"/>
  <c r="Q167" i="4"/>
  <c r="R167" i="4"/>
  <c r="S167" i="4"/>
  <c r="Q168" i="4"/>
  <c r="R168" i="4"/>
  <c r="S168" i="4"/>
  <c r="Q169" i="4"/>
  <c r="R169" i="4"/>
  <c r="S169" i="4"/>
  <c r="Q170" i="4"/>
  <c r="R170" i="4"/>
  <c r="S170" i="4"/>
  <c r="Q171" i="4"/>
  <c r="R171" i="4"/>
  <c r="S171" i="4"/>
  <c r="Q172" i="4"/>
  <c r="R172" i="4"/>
  <c r="S172" i="4"/>
  <c r="Q173" i="4"/>
  <c r="R173" i="4"/>
  <c r="S173" i="4"/>
  <c r="Q174" i="4"/>
  <c r="R174" i="4"/>
  <c r="S174" i="4"/>
  <c r="Q175" i="4"/>
  <c r="R175" i="4"/>
  <c r="S175" i="4"/>
  <c r="Q176" i="4"/>
  <c r="R176" i="4"/>
  <c r="S176" i="4"/>
  <c r="Q177" i="4"/>
  <c r="R177" i="4"/>
  <c r="S177" i="4"/>
  <c r="Q178" i="4"/>
  <c r="R178" i="4"/>
  <c r="S178" i="4"/>
  <c r="Q179" i="4"/>
  <c r="R179" i="4"/>
  <c r="S179" i="4"/>
  <c r="Q180" i="4"/>
  <c r="R180" i="4"/>
  <c r="S180" i="4"/>
  <c r="Q181" i="4"/>
  <c r="R181" i="4"/>
  <c r="S181" i="4"/>
  <c r="Q182" i="4"/>
  <c r="R182" i="4"/>
  <c r="S182" i="4"/>
  <c r="Q183" i="4"/>
  <c r="R183" i="4"/>
  <c r="S183" i="4"/>
  <c r="Q184" i="4"/>
  <c r="R184" i="4"/>
  <c r="S184" i="4"/>
  <c r="Q185" i="4"/>
  <c r="R185" i="4"/>
  <c r="S185" i="4"/>
  <c r="Q186" i="4"/>
  <c r="R186" i="4"/>
  <c r="S186" i="4"/>
  <c r="Q187" i="4"/>
  <c r="R187" i="4"/>
  <c r="S187" i="4"/>
  <c r="Q188" i="4"/>
  <c r="R188" i="4"/>
  <c r="S188" i="4"/>
  <c r="Q189" i="4"/>
  <c r="R189" i="4"/>
  <c r="S189" i="4"/>
  <c r="Q190" i="4"/>
  <c r="R190" i="4"/>
  <c r="S190" i="4"/>
  <c r="Q191" i="4"/>
  <c r="R191" i="4"/>
  <c r="S191" i="4"/>
  <c r="Q192" i="4"/>
  <c r="R192" i="4"/>
  <c r="S192" i="4"/>
  <c r="Q193" i="4"/>
  <c r="R193" i="4"/>
  <c r="S193" i="4"/>
  <c r="Q194" i="4"/>
  <c r="R194" i="4"/>
  <c r="S194" i="4"/>
  <c r="Q195" i="4"/>
  <c r="R195" i="4"/>
  <c r="S195" i="4"/>
  <c r="Q196" i="4"/>
  <c r="R196" i="4"/>
  <c r="S196" i="4"/>
  <c r="Q197" i="4"/>
  <c r="R197" i="4"/>
  <c r="S197" i="4"/>
  <c r="Q198" i="4"/>
  <c r="R198" i="4"/>
  <c r="S198" i="4"/>
  <c r="Q199" i="4"/>
  <c r="R199" i="4"/>
  <c r="S199" i="4"/>
  <c r="Q200" i="4"/>
  <c r="R200" i="4"/>
  <c r="S200" i="4"/>
  <c r="Q201" i="4"/>
  <c r="R201" i="4"/>
  <c r="S201" i="4"/>
  <c r="Q202" i="4"/>
  <c r="R202" i="4"/>
  <c r="S202" i="4"/>
  <c r="Q203" i="4"/>
  <c r="R203" i="4"/>
  <c r="S203" i="4"/>
  <c r="Q204" i="4"/>
  <c r="R204" i="4"/>
  <c r="S204" i="4"/>
  <c r="Q205" i="4"/>
  <c r="R205" i="4"/>
  <c r="S205" i="4"/>
  <c r="Q206" i="4"/>
  <c r="R206" i="4"/>
  <c r="S206" i="4"/>
  <c r="Q207" i="4"/>
  <c r="R207" i="4"/>
  <c r="S207" i="4"/>
  <c r="Q208" i="4"/>
  <c r="R208" i="4"/>
  <c r="S208" i="4"/>
  <c r="Q209" i="4"/>
  <c r="R209" i="4"/>
  <c r="S209" i="4"/>
  <c r="Q210" i="4"/>
  <c r="R210" i="4"/>
  <c r="S210" i="4"/>
  <c r="Q211" i="4"/>
  <c r="R211" i="4"/>
  <c r="S211" i="4"/>
  <c r="Q212" i="4"/>
  <c r="R212" i="4"/>
  <c r="S212" i="4"/>
  <c r="Q213" i="4"/>
  <c r="R213" i="4"/>
  <c r="S213" i="4"/>
  <c r="Q214" i="4"/>
  <c r="R214" i="4"/>
  <c r="S214" i="4"/>
  <c r="Q215" i="4"/>
  <c r="R215" i="4"/>
  <c r="S215" i="4"/>
  <c r="Q216" i="4"/>
  <c r="R216" i="4"/>
  <c r="S216" i="4"/>
  <c r="Q217" i="4"/>
  <c r="R217" i="4"/>
  <c r="S217" i="4"/>
  <c r="Q218" i="4"/>
  <c r="R218" i="4"/>
  <c r="S218" i="4"/>
  <c r="Q219" i="4"/>
  <c r="R219" i="4"/>
  <c r="S219" i="4"/>
  <c r="Q220" i="4"/>
  <c r="R220" i="4"/>
  <c r="S220" i="4"/>
  <c r="Q221" i="4"/>
  <c r="R221" i="4"/>
  <c r="S221" i="4"/>
  <c r="Q222" i="4"/>
  <c r="R222" i="4"/>
  <c r="S222" i="4"/>
  <c r="Q223" i="4"/>
  <c r="R223" i="4"/>
  <c r="S223" i="4"/>
  <c r="Q224" i="4"/>
  <c r="R224" i="4"/>
  <c r="S224" i="4"/>
  <c r="Q225" i="4"/>
  <c r="R225" i="4"/>
  <c r="S225" i="4"/>
  <c r="Q226" i="4"/>
  <c r="R226" i="4"/>
  <c r="S226" i="4"/>
  <c r="Q227" i="4"/>
  <c r="R227" i="4"/>
  <c r="S227" i="4"/>
  <c r="Q228" i="4"/>
  <c r="R228" i="4"/>
  <c r="S228" i="4"/>
  <c r="Q229" i="4"/>
  <c r="R229" i="4"/>
  <c r="S229" i="4"/>
  <c r="Q230" i="4"/>
  <c r="R230" i="4"/>
  <c r="S230" i="4"/>
  <c r="Q231" i="4"/>
  <c r="R231" i="4"/>
  <c r="S231" i="4"/>
  <c r="Q232" i="4"/>
  <c r="R232" i="4"/>
  <c r="S232" i="4"/>
  <c r="Q233" i="4"/>
  <c r="R233" i="4"/>
  <c r="S233" i="4"/>
  <c r="Q234" i="4"/>
  <c r="R234" i="4"/>
  <c r="S234" i="4"/>
  <c r="Q235" i="4"/>
  <c r="R235" i="4"/>
  <c r="S235" i="4"/>
  <c r="Q236" i="4"/>
  <c r="R236" i="4"/>
  <c r="S236" i="4"/>
  <c r="Q237" i="4"/>
  <c r="R237" i="4"/>
  <c r="S237" i="4"/>
  <c r="Q238" i="4"/>
  <c r="R238" i="4"/>
  <c r="S238" i="4"/>
  <c r="Q239" i="4"/>
  <c r="R239" i="4"/>
  <c r="S239" i="4"/>
  <c r="Q240" i="4"/>
  <c r="R240" i="4"/>
  <c r="S240" i="4"/>
  <c r="Q241" i="4"/>
  <c r="R241" i="4"/>
  <c r="S241" i="4"/>
  <c r="Q242" i="4"/>
  <c r="R242" i="4"/>
  <c r="S242" i="4"/>
  <c r="Q243" i="4"/>
  <c r="R243" i="4"/>
  <c r="S243" i="4"/>
  <c r="Q244" i="4"/>
  <c r="R244" i="4"/>
  <c r="S244" i="4"/>
  <c r="Q245" i="4"/>
  <c r="R245" i="4"/>
  <c r="S245" i="4"/>
  <c r="Q246" i="4"/>
  <c r="R246" i="4"/>
  <c r="S246" i="4"/>
  <c r="Q247" i="4"/>
  <c r="R247" i="4"/>
  <c r="S247" i="4"/>
  <c r="Q248" i="4"/>
  <c r="R248" i="4"/>
  <c r="S248" i="4"/>
  <c r="Q249" i="4"/>
  <c r="R249" i="4"/>
  <c r="S249" i="4"/>
  <c r="Q250" i="4"/>
  <c r="R250" i="4"/>
  <c r="S250" i="4"/>
  <c r="Q251" i="4"/>
  <c r="R251" i="4"/>
  <c r="S251" i="4"/>
  <c r="Q252" i="4"/>
  <c r="R252" i="4"/>
  <c r="S252" i="4"/>
  <c r="Q253" i="4"/>
  <c r="R253" i="4"/>
  <c r="S253" i="4"/>
  <c r="Q254" i="4"/>
  <c r="R254" i="4"/>
  <c r="S254" i="4"/>
  <c r="Q255" i="4"/>
  <c r="R255" i="4"/>
  <c r="S255" i="4"/>
  <c r="Q256" i="4"/>
  <c r="R256" i="4"/>
  <c r="S256" i="4"/>
  <c r="Q257" i="4"/>
  <c r="R257" i="4"/>
  <c r="S257" i="4"/>
  <c r="Q258" i="4"/>
  <c r="R258" i="4"/>
  <c r="S258" i="4"/>
  <c r="Q259" i="4"/>
  <c r="R259" i="4"/>
  <c r="S259" i="4"/>
  <c r="Q260" i="4"/>
  <c r="R260" i="4"/>
  <c r="S260" i="4"/>
  <c r="Q261" i="4"/>
  <c r="R261" i="4"/>
  <c r="S261" i="4"/>
  <c r="Q262" i="4"/>
  <c r="R262" i="4"/>
  <c r="S262" i="4"/>
  <c r="Q263" i="4"/>
  <c r="R263" i="4"/>
  <c r="S263" i="4"/>
  <c r="Q264" i="4"/>
  <c r="R264" i="4"/>
  <c r="S264" i="4"/>
  <c r="Q265" i="4"/>
  <c r="R265" i="4"/>
  <c r="S265" i="4"/>
  <c r="Q266" i="4"/>
  <c r="R266" i="4"/>
  <c r="S266" i="4"/>
  <c r="Q267" i="4"/>
  <c r="R267" i="4"/>
  <c r="S267" i="4"/>
  <c r="Q268" i="4"/>
  <c r="R268" i="4"/>
  <c r="S268" i="4"/>
  <c r="Q269" i="4"/>
  <c r="R269" i="4"/>
  <c r="S269" i="4"/>
  <c r="Q270" i="4"/>
  <c r="R270" i="4"/>
  <c r="S270" i="4"/>
  <c r="Q271" i="4"/>
  <c r="R271" i="4"/>
  <c r="S271" i="4"/>
  <c r="Q272" i="4"/>
  <c r="R272" i="4"/>
  <c r="S272" i="4"/>
  <c r="Q273" i="4"/>
  <c r="R273" i="4"/>
  <c r="S273" i="4"/>
  <c r="Q274" i="4"/>
  <c r="R274" i="4"/>
  <c r="S274" i="4"/>
  <c r="Q275" i="4"/>
  <c r="R275" i="4"/>
  <c r="S275" i="4"/>
  <c r="Q276" i="4"/>
  <c r="R276" i="4"/>
  <c r="S276" i="4"/>
  <c r="Q277" i="4"/>
  <c r="R277" i="4"/>
  <c r="S277" i="4"/>
  <c r="Q278" i="4"/>
  <c r="R278" i="4"/>
  <c r="S278" i="4"/>
  <c r="Q279" i="4"/>
  <c r="R279" i="4"/>
  <c r="S279" i="4"/>
  <c r="Q280" i="4"/>
  <c r="R280" i="4"/>
  <c r="S280" i="4"/>
  <c r="Q281" i="4"/>
  <c r="R281" i="4"/>
  <c r="S281" i="4"/>
  <c r="Q282" i="4"/>
  <c r="R282" i="4"/>
  <c r="S282" i="4"/>
  <c r="Q283" i="4"/>
  <c r="R283" i="4"/>
  <c r="S283" i="4"/>
  <c r="Q284" i="4"/>
  <c r="R284" i="4"/>
  <c r="S284" i="4"/>
  <c r="Q285" i="4"/>
  <c r="R285" i="4"/>
  <c r="S285" i="4"/>
  <c r="Q286" i="4"/>
  <c r="R286" i="4"/>
  <c r="S286" i="4"/>
  <c r="Q287" i="4"/>
  <c r="R287" i="4"/>
  <c r="S287" i="4"/>
  <c r="Q288" i="4"/>
  <c r="R288" i="4"/>
  <c r="S288" i="4"/>
  <c r="Q289" i="4"/>
  <c r="R289" i="4"/>
  <c r="S289" i="4"/>
  <c r="Q290" i="4"/>
  <c r="R290" i="4"/>
  <c r="S290" i="4"/>
  <c r="Q291" i="4"/>
  <c r="R291" i="4"/>
  <c r="S291" i="4"/>
  <c r="Q292" i="4"/>
  <c r="R292" i="4"/>
  <c r="S292" i="4"/>
  <c r="Q293" i="4"/>
  <c r="R293" i="4"/>
  <c r="S293" i="4"/>
  <c r="Q294" i="4"/>
  <c r="R294" i="4"/>
  <c r="S294" i="4"/>
  <c r="Q295" i="4"/>
  <c r="R295" i="4"/>
  <c r="S295" i="4"/>
  <c r="Q296" i="4"/>
  <c r="R296" i="4"/>
  <c r="S296" i="4"/>
  <c r="Q297" i="4"/>
  <c r="R297" i="4"/>
  <c r="S297" i="4"/>
  <c r="Q298" i="4"/>
  <c r="R298" i="4"/>
  <c r="S298" i="4"/>
  <c r="Q299" i="4"/>
  <c r="R299" i="4"/>
  <c r="S299" i="4"/>
  <c r="Q300" i="4"/>
  <c r="R300" i="4"/>
  <c r="S300" i="4"/>
  <c r="Q301" i="4"/>
  <c r="R301" i="4"/>
  <c r="S301" i="4"/>
  <c r="Q302" i="4"/>
  <c r="R302" i="4"/>
  <c r="S302" i="4"/>
  <c r="Q303" i="4"/>
  <c r="R303" i="4"/>
  <c r="S303" i="4"/>
  <c r="Q304" i="4"/>
  <c r="R304" i="4"/>
  <c r="S304" i="4"/>
  <c r="Q305" i="4"/>
  <c r="R305" i="4"/>
  <c r="S305" i="4"/>
  <c r="Q306" i="4"/>
  <c r="R306" i="4"/>
  <c r="S306" i="4"/>
  <c r="Q307" i="4"/>
  <c r="R307" i="4"/>
  <c r="S307" i="4"/>
  <c r="Q308" i="4"/>
  <c r="R308" i="4"/>
  <c r="S308" i="4"/>
  <c r="Q309" i="4"/>
  <c r="R309" i="4"/>
  <c r="S309" i="4"/>
  <c r="Q310" i="4"/>
  <c r="R310" i="4"/>
  <c r="S310" i="4"/>
  <c r="Q311" i="4"/>
  <c r="R311" i="4"/>
  <c r="S311" i="4"/>
  <c r="Q312" i="4"/>
  <c r="R312" i="4"/>
  <c r="S312" i="4"/>
  <c r="Q313" i="4"/>
  <c r="R313" i="4"/>
  <c r="S313" i="4"/>
  <c r="Q314" i="4"/>
  <c r="R314" i="4"/>
  <c r="S314" i="4"/>
  <c r="Q315" i="4"/>
  <c r="R315" i="4"/>
  <c r="S315" i="4"/>
  <c r="Q316" i="4"/>
  <c r="R316" i="4"/>
  <c r="S316" i="4"/>
  <c r="Q317" i="4"/>
  <c r="R317" i="4"/>
  <c r="S317" i="4"/>
  <c r="Q318" i="4"/>
  <c r="R318" i="4"/>
  <c r="S318" i="4"/>
  <c r="Q319" i="4"/>
  <c r="R319" i="4"/>
  <c r="S319" i="4"/>
  <c r="Q320" i="4"/>
  <c r="R320" i="4"/>
  <c r="S320" i="4"/>
  <c r="Q321" i="4"/>
  <c r="R321" i="4"/>
  <c r="S321" i="4"/>
  <c r="S2" i="4"/>
  <c r="Q2" i="4"/>
  <c r="R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2" i="4"/>
</calcChain>
</file>

<file path=xl/sharedStrings.xml><?xml version="1.0" encoding="utf-8"?>
<sst xmlns="http://schemas.openxmlformats.org/spreadsheetml/2006/main" count="3089" uniqueCount="174">
  <si>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</si>
  <si>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</si>
  <si>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</si>
  <si>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</si>
  <si>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</si>
  <si>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</si>
  <si>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</si>
  <si>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</si>
  <si>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</si>
  <si>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</si>
  <si>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</si>
  <si>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</si>
  <si>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</si>
  <si>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</si>
  <si>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</si>
  <si>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</si>
  <si>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</si>
  <si>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</si>
  <si>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</si>
  <si>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</si>
  <si>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</si>
  <si>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</si>
  <si>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</si>
  <si>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</si>
  <si>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</si>
  <si>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</si>
  <si>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</si>
  <si>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</si>
  <si>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</si>
  <si>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</si>
  <si>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</si>
  <si>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</si>
  <si>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</si>
  <si>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</si>
  <si>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</si>
  <si>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</si>
  <si>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</si>
  <si>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</si>
  <si>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</si>
  <si>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</si>
  <si>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</si>
  <si>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</si>
  <si>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</si>
  <si>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</si>
  <si>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</si>
  <si>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</si>
  <si>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</si>
  <si>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</si>
  <si>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</si>
  <si>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</si>
  <si>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</si>
  <si>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</si>
  <si>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</si>
  <si>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</si>
  <si>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</si>
  <si>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</si>
  <si>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</si>
  <si>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</si>
  <si>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</si>
  <si>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</si>
  <si>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</si>
  <si>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</si>
  <si>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</si>
  <si>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</si>
  <si>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</si>
  <si>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</si>
  <si>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</si>
  <si>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</si>
  <si>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</si>
  <si>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</si>
  <si>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</si>
  <si>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</si>
  <si>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</si>
  <si>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</si>
  <si>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</si>
  <si>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</si>
  <si>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</si>
  <si>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</si>
  <si>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</si>
  <si>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</si>
  <si>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</si>
  <si>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</si>
  <si>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</si>
  <si>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</si>
  <si>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</si>
  <si>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</si>
  <si>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</si>
  <si>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</si>
  <si>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</si>
  <si>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</si>
  <si>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</si>
  <si>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</si>
  <si>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</si>
  <si>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</si>
  <si>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</si>
  <si>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</si>
  <si>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</si>
  <si>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</si>
  <si>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</si>
  <si>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</si>
  <si>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</si>
  <si>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</si>
  <si>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Column</t>
  </si>
  <si>
    <t>Description</t>
  </si>
  <si>
    <t>Unique store identifier.</t>
  </si>
  <si>
    <t>Reporting month.</t>
  </si>
  <si>
    <t>Business region.</t>
  </si>
  <si>
    <t>Mall, High Street, Residential, or Airport.</t>
  </si>
  <si>
    <t>Monthly marketing spend for the store.</t>
  </si>
  <si>
    <t>Monthly visitor count.</t>
  </si>
  <si>
    <t>Average discount percentage for the month.</t>
  </si>
  <si>
    <t>Number of store staff.</t>
  </si>
  <si>
    <t>Average product availability percentage.</t>
  </si>
  <si>
    <t>Distance to nearest competitor.</t>
  </si>
  <si>
    <t>1 if the month/store period had a meaningful holiday effect; otherwise 0.</t>
  </si>
  <si>
    <t>Average customer rating.</t>
  </si>
  <si>
    <t>Dependent variable for sales regression.</t>
  </si>
  <si>
    <t>Optional secondary business metric.</t>
  </si>
  <si>
    <t>region_North</t>
  </si>
  <si>
    <t>region_South</t>
  </si>
  <si>
    <t>region_West</t>
  </si>
  <si>
    <t>Store_HighStreet</t>
  </si>
  <si>
    <t>Store_Mall</t>
  </si>
  <si>
    <t>Store_Residential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</si>
  <si>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</si>
  <si>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</si>
  <si>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</si>
  <si>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</si>
  <si>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</si>
  <si>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</si>
  <si>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</si>
  <si>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</si>
  <si>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</si>
  <si>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</si>
  <si>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</si>
  <si>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</si>
  <si>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</si>
  <si>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</si>
  <si>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</si>
  <si>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</si>
  <si>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</si>
  <si>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</si>
  <si>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</si>
  <si>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</si>
  <si>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</si>
  <si>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</si>
  <si>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</si>
  <si>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</si>
  <si>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</si>
  <si>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</si>
  <si>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Residuals</t>
  </si>
  <si>
    <t>Predicted monthly_sales</t>
  </si>
  <si>
    <t>Model Name</t>
  </si>
  <si>
    <t>Dependent Variable</t>
  </si>
  <si>
    <t>Independent Variables</t>
  </si>
  <si>
    <t>R-squared</t>
  </si>
  <si>
    <t>Adjusted R-squared</t>
  </si>
  <si>
    <t>Significant Variables (p&lt;0.05)</t>
  </si>
  <si>
    <t>Business Usefulness</t>
  </si>
  <si>
    <t>Limitations</t>
  </si>
  <si>
    <t>Simple Regression Model 1</t>
  </si>
  <si>
    <t>Helps understand whether increasing marketing investment is associated with higher sales. Useful for evaluating advertising effectiveness and budgeting decisions.</t>
  </si>
  <si>
    <t>Ignores customer traffic, staffing, and regional differences. Low explanatory power because only one variable is included.</t>
  </si>
  <si>
    <t>Simple Regression Model 2</t>
  </si>
  <si>
    <t>Demonstrates the importance of customer traffic in driving store sales. Useful for customer acquisition and store traffic strategies.</t>
  </si>
  <si>
    <t>Does not consider marketing activities, staffing, or regional effects. Cannot explain all variations in sales performance.</t>
  </si>
  <si>
    <t>Multiple Regression Model</t>
  </si>
  <si>
    <t>marketing_spend, footfall, avg_discount_pct, staff_count, region_North, region_South</t>
  </si>
  <si>
    <t>Provides the most comprehensive explanation of sales performance by considering several business drivers simultaneously. Supports strategic decision-making and forecasting.</t>
  </si>
  <si>
    <t>Regression shows association rather than causation. The model may omit important factors such as competition, seasonality, store management quality, economic conditions, and customer demographics.</t>
  </si>
  <si>
    <t>marketing_spend, footfall,avg_discount_pct</t>
  </si>
  <si>
    <t>Model Comparison</t>
  </si>
  <si>
    <t>Top 5 Negative Residuals</t>
  </si>
  <si>
    <t>Top 5 Positive 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</si>
</sst>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"/>
    <numFmt numFmtId="165" formatCode="0.0000"/>
  </numFmts>
  <fonts count="6">
    <font>
      <sz val="11"/>
      <name val="Carlito"/>
    </font>
    <font>
      <b/>
      <sz val="11"/>
      <color rgb="FFFFFFFF"/>
      <name val="Carlito"/>
    </font>
    <font>
      <i/>
      <sz val="11"/>
      <name val="Carlito"/>
    </font>
    <font>
      <b/>
      <sz val="11"/>
      <name val="Carlito"/>
    </font>
    <font>
      <b/>
      <sz val="20"/>
      <name val="Carlito"/>
    </font>
    <font>
      <b/>
      <sz val="18"/>
      <name val="Carlito"/>
    </font>
  </fonts>
  <fills count="4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1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Continuous"/>
    </xf>
    <xf numFmtId="2" fontId="0" fillId="0" borderId="1" xfId="0" applyNumberFormat="1" applyFill="1" applyBorder="1" applyAlignment="1"/>
    <xf numFmtId="165" fontId="0" fillId="0" borderId="1" xfId="0" applyNumberFormat="1" applyFill="1" applyBorder="1" applyAlignment="1"/>
    <xf numFmtId="0" fontId="4" fillId="0" borderId="0" xfId="0" applyFont="1"/>
    <xf numFmtId="0" fontId="5" fillId="0" borderId="0" xfId="0" applyFont="1"/>
    <xf numFmtId="0" fontId="0" fillId="3" borderId="0" xfId="0" applyFill="1"/>
    <xf numFmtId="0" fontId="0" fillId="3" borderId="5" xfId="0" applyFill="1" applyBorder="1"/>
    <xf numFmtId="0" fontId="0" fillId="3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3" borderId="9" xfId="0" applyFill="1" applyBorder="1"/>
    <xf numFmtId="0" fontId="0" fillId="3" borderId="10" xfId="0" applyFill="1" applyBorder="1"/>
    <xf numFmtId="0" fontId="0" fillId="0" borderId="1" xfId="0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11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0.0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165" formatCode="0.0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le1" displayName="Table1" ref="A2:H5" totalsRowShown="0" headerRowDxfId="10" dataDxfId="9" tableBorderDxfId="8">
  <autoFilter ref="A2:H5"/>
  <tableColumns count="8">
    <tableColumn id="1" name="Model Name" dataDxfId="7"/>
    <tableColumn id="2" name="Dependent Variable" dataDxfId="6"/>
    <tableColumn id="3" name="Independent Variables" dataDxfId="5"/>
    <tableColumn id="4" name="R-squared" dataDxfId="4"/>
    <tableColumn id="5" name="Adjusted R-squared" dataDxfId="3"/>
    <tableColumn id="6" name="Significant Variables (p&lt;0.05)" dataDxfId="2"/>
    <tableColumn id="7" name="Business Usefulness" dataDxfId="1"/>
    <tableColumn id="8" name="Limitations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1"/>
  <sheetViews>
    <sheetView tabSelected="1" workbookViewId="0">
      <selection activeCell="C9" sqref="C9"/>
    </sheetView>
  </sheetViews>
  <sheetFormatPr defaultRowHeight="14"/>
  <cols>
    <col min="1" max="14" width="16" customWidth="1"/>
  </cols>
  <sheetData>
    <row r="1" spans="1:14" ht="18.6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45658</v>
      </c>
      <c r="C2" s="2" t="s">
        <v>15</v>
      </c>
      <c r="D2" s="2" t="s">
        <v>16</v>
      </c>
      <c r="E2" s="2">
        <v>70389.11</v>
      </c>
      <c r="F2" s="2">
        <v>8302</v>
      </c>
      <c r="G2" s="2">
        <v>4.2000000000000003E-2</v>
      </c>
      <c r="H2" s="2">
        <v>17</v>
      </c>
      <c r="I2" s="2">
        <v>75</v>
      </c>
      <c r="J2" s="2">
        <v>5.28</v>
      </c>
      <c r="K2" s="2">
        <v>1</v>
      </c>
      <c r="L2" s="2">
        <v>3.1</v>
      </c>
      <c r="M2" s="2">
        <v>658832.62</v>
      </c>
      <c r="N2" s="2">
        <v>84349.93</v>
      </c>
    </row>
    <row r="3" spans="1:14">
      <c r="A3" s="2" t="s">
        <v>14</v>
      </c>
      <c r="B3" s="3">
        <v>45689</v>
      </c>
      <c r="C3" s="2" t="s">
        <v>15</v>
      </c>
      <c r="D3" s="2" t="s">
        <v>16</v>
      </c>
      <c r="E3" s="2">
        <v>43827.89</v>
      </c>
      <c r="F3" s="2">
        <v>8487</v>
      </c>
      <c r="G3" s="2">
        <v>0.16800000000000001</v>
      </c>
      <c r="H3" s="2">
        <v>23</v>
      </c>
      <c r="I3" s="2">
        <v>84.4</v>
      </c>
      <c r="J3" s="2">
        <v>4.3099999999999996</v>
      </c>
      <c r="K3" s="2">
        <v>0</v>
      </c>
      <c r="L3" s="2">
        <v>2.8</v>
      </c>
      <c r="M3" s="2">
        <v>634436</v>
      </c>
      <c r="N3" s="2">
        <v>106130.54</v>
      </c>
    </row>
    <row r="4" spans="1:14">
      <c r="A4" s="2" t="s">
        <v>14</v>
      </c>
      <c r="B4" s="3">
        <v>45717</v>
      </c>
      <c r="C4" s="2" t="s">
        <v>15</v>
      </c>
      <c r="D4" s="2" t="s">
        <v>16</v>
      </c>
      <c r="E4" s="2">
        <v>59921.75</v>
      </c>
      <c r="F4" s="2">
        <v>9113</v>
      </c>
      <c r="G4" s="2">
        <v>0.13300000000000001</v>
      </c>
      <c r="H4" s="2">
        <v>20</v>
      </c>
      <c r="I4" s="2">
        <v>88</v>
      </c>
      <c r="J4" s="2">
        <v>12</v>
      </c>
      <c r="K4" s="2">
        <v>0</v>
      </c>
      <c r="L4" s="2">
        <v>3.2</v>
      </c>
      <c r="M4" s="2">
        <v>678722.06</v>
      </c>
      <c r="N4" s="2">
        <v>101883.86</v>
      </c>
    </row>
    <row r="5" spans="1:14">
      <c r="A5" s="2" t="s">
        <v>14</v>
      </c>
      <c r="B5" s="3">
        <v>45748</v>
      </c>
      <c r="C5" s="2" t="s">
        <v>15</v>
      </c>
      <c r="D5" s="2" t="s">
        <v>16</v>
      </c>
      <c r="E5" s="2">
        <v>56856.63</v>
      </c>
      <c r="F5" s="2">
        <v>9431</v>
      </c>
      <c r="G5" s="2">
        <v>0.14199999999999999</v>
      </c>
      <c r="H5" s="2">
        <v>23</v>
      </c>
      <c r="I5" s="2">
        <v>86.9</v>
      </c>
      <c r="J5" s="2">
        <v>4.97</v>
      </c>
      <c r="K5" s="2">
        <v>0</v>
      </c>
      <c r="L5" s="2">
        <v>3.4</v>
      </c>
      <c r="M5" s="2">
        <v>658920.30000000005</v>
      </c>
      <c r="N5" s="2">
        <v>97910.37</v>
      </c>
    </row>
    <row r="6" spans="1:14">
      <c r="A6" s="2" t="s">
        <v>17</v>
      </c>
      <c r="B6" s="3">
        <v>45658</v>
      </c>
      <c r="C6" s="2" t="s">
        <v>15</v>
      </c>
      <c r="D6" s="2" t="s">
        <v>18</v>
      </c>
      <c r="E6" s="2">
        <v>48412.639999999999</v>
      </c>
      <c r="F6" s="2">
        <v>9545</v>
      </c>
      <c r="G6" s="2">
        <v>0.23100000000000001</v>
      </c>
      <c r="H6" s="2">
        <v>21</v>
      </c>
      <c r="I6" s="2">
        <v>97.6</v>
      </c>
      <c r="J6" s="2">
        <v>6.94</v>
      </c>
      <c r="K6" s="2">
        <v>1</v>
      </c>
      <c r="L6" s="2">
        <v>4.2</v>
      </c>
      <c r="M6" s="2">
        <v>741341.44</v>
      </c>
      <c r="N6" s="2">
        <v>119208.17</v>
      </c>
    </row>
    <row r="7" spans="1:14">
      <c r="A7" s="2" t="s">
        <v>17</v>
      </c>
      <c r="B7" s="3">
        <v>45689</v>
      </c>
      <c r="C7" s="2" t="s">
        <v>15</v>
      </c>
      <c r="D7" s="2" t="s">
        <v>18</v>
      </c>
      <c r="E7" s="2">
        <v>64811.21</v>
      </c>
      <c r="F7" s="2">
        <v>9792</v>
      </c>
      <c r="G7" s="2">
        <v>0.112</v>
      </c>
      <c r="H7" s="2">
        <v>20</v>
      </c>
      <c r="I7" s="2">
        <v>84.2</v>
      </c>
      <c r="J7" s="2">
        <v>2.88</v>
      </c>
      <c r="K7" s="2">
        <v>0</v>
      </c>
      <c r="L7" s="2">
        <v>4.2</v>
      </c>
      <c r="M7" s="2">
        <v>761835.34</v>
      </c>
      <c r="N7" s="2">
        <v>149602.23000000001</v>
      </c>
    </row>
    <row r="8" spans="1:14">
      <c r="A8" s="2" t="s">
        <v>17</v>
      </c>
      <c r="B8" s="3">
        <v>45717</v>
      </c>
      <c r="C8" s="2" t="s">
        <v>15</v>
      </c>
      <c r="D8" s="2" t="s">
        <v>18</v>
      </c>
      <c r="E8" s="2">
        <v>46213.45</v>
      </c>
      <c r="F8" s="2">
        <v>10616</v>
      </c>
      <c r="G8" s="2">
        <v>0.122</v>
      </c>
      <c r="H8" s="2">
        <v>22</v>
      </c>
      <c r="I8" s="2">
        <v>85.2</v>
      </c>
      <c r="J8" s="2">
        <v>0.2</v>
      </c>
      <c r="K8" s="2">
        <v>1</v>
      </c>
      <c r="L8" s="2">
        <v>4.0999999999999996</v>
      </c>
      <c r="M8" s="2">
        <v>806615.54</v>
      </c>
      <c r="N8" s="2">
        <v>131364.62</v>
      </c>
    </row>
    <row r="9" spans="1:14">
      <c r="A9" s="2" t="s">
        <v>17</v>
      </c>
      <c r="B9" s="3">
        <v>45748</v>
      </c>
      <c r="C9" s="2" t="s">
        <v>15</v>
      </c>
      <c r="D9" s="2" t="s">
        <v>18</v>
      </c>
      <c r="E9" s="2">
        <v>68148.52</v>
      </c>
      <c r="F9" s="2">
        <v>8567</v>
      </c>
      <c r="G9" s="2">
        <v>0.127</v>
      </c>
      <c r="H9" s="2">
        <v>23</v>
      </c>
      <c r="I9" s="2">
        <v>95.6</v>
      </c>
      <c r="J9" s="2">
        <v>0.8</v>
      </c>
      <c r="K9" s="2">
        <v>0</v>
      </c>
      <c r="L9" s="2">
        <v>3.9</v>
      </c>
      <c r="M9" s="2">
        <v>850164.26</v>
      </c>
      <c r="N9" s="2">
        <v>149262.75</v>
      </c>
    </row>
    <row r="10" spans="1:14">
      <c r="A10" s="2" t="s">
        <v>19</v>
      </c>
      <c r="B10" s="3">
        <v>45658</v>
      </c>
      <c r="C10" s="2" t="s">
        <v>20</v>
      </c>
      <c r="D10" s="2" t="s">
        <v>21</v>
      </c>
      <c r="E10" s="2">
        <v>71838.86</v>
      </c>
      <c r="F10" s="2">
        <v>10979</v>
      </c>
      <c r="G10" s="2">
        <v>0.215</v>
      </c>
      <c r="H10" s="2">
        <v>26</v>
      </c>
      <c r="I10" s="2">
        <v>88.6</v>
      </c>
      <c r="J10" s="2">
        <v>7.7</v>
      </c>
      <c r="K10" s="2">
        <v>1</v>
      </c>
      <c r="L10" s="2">
        <v>3.8</v>
      </c>
      <c r="M10" s="2">
        <v>930581.7</v>
      </c>
      <c r="N10" s="2">
        <v>136207.98000000001</v>
      </c>
    </row>
    <row r="11" spans="1:14">
      <c r="A11" s="2" t="s">
        <v>19</v>
      </c>
      <c r="B11" s="3">
        <v>45689</v>
      </c>
      <c r="C11" s="2" t="s">
        <v>20</v>
      </c>
      <c r="D11" s="2" t="s">
        <v>21</v>
      </c>
      <c r="E11" s="2">
        <v>68133.440000000002</v>
      </c>
      <c r="F11" s="2">
        <v>9459</v>
      </c>
      <c r="G11" s="2">
        <v>0.22</v>
      </c>
      <c r="H11" s="2">
        <v>21</v>
      </c>
      <c r="I11" s="2">
        <v>85</v>
      </c>
      <c r="J11" s="2">
        <v>1.91</v>
      </c>
      <c r="K11" s="2">
        <v>0</v>
      </c>
      <c r="L11" s="2">
        <v>4.2</v>
      </c>
      <c r="M11" s="2">
        <v>779010.94</v>
      </c>
      <c r="N11" s="2">
        <v>106328.09</v>
      </c>
    </row>
    <row r="12" spans="1:14">
      <c r="A12" s="2" t="s">
        <v>19</v>
      </c>
      <c r="B12" s="3">
        <v>45717</v>
      </c>
      <c r="C12" s="2" t="s">
        <v>20</v>
      </c>
      <c r="D12" s="2" t="s">
        <v>21</v>
      </c>
      <c r="E12" s="2">
        <v>34285.21</v>
      </c>
      <c r="F12" s="2">
        <v>9172</v>
      </c>
      <c r="G12" s="2">
        <v>0.21299999999999999</v>
      </c>
      <c r="H12" s="2">
        <v>22</v>
      </c>
      <c r="I12" s="2">
        <v>88.3</v>
      </c>
      <c r="J12" s="2">
        <v>10.46</v>
      </c>
      <c r="K12" s="2">
        <v>1</v>
      </c>
      <c r="L12" s="2">
        <v>3.8</v>
      </c>
      <c r="M12" s="2">
        <v>723060.76</v>
      </c>
      <c r="N12" s="2">
        <v>123131.24</v>
      </c>
    </row>
    <row r="13" spans="1:14">
      <c r="A13" s="2" t="s">
        <v>19</v>
      </c>
      <c r="B13" s="3">
        <v>45748</v>
      </c>
      <c r="C13" s="2" t="s">
        <v>20</v>
      </c>
      <c r="D13" s="2" t="s">
        <v>21</v>
      </c>
      <c r="E13" s="2">
        <v>67979.88</v>
      </c>
      <c r="F13" s="2">
        <v>11230</v>
      </c>
      <c r="G13" s="2">
        <v>2E-3</v>
      </c>
      <c r="H13" s="2">
        <v>28</v>
      </c>
      <c r="I13" s="2">
        <v>85.3</v>
      </c>
      <c r="J13" s="2">
        <v>7.16</v>
      </c>
      <c r="K13" s="2">
        <v>0</v>
      </c>
      <c r="L13" s="2">
        <v>3.8</v>
      </c>
      <c r="M13" s="2">
        <v>910791.94</v>
      </c>
      <c r="N13" s="2">
        <v>158891.28</v>
      </c>
    </row>
    <row r="14" spans="1:14">
      <c r="A14" s="2" t="s">
        <v>22</v>
      </c>
      <c r="B14" s="3">
        <v>45658</v>
      </c>
      <c r="C14" s="2" t="s">
        <v>15</v>
      </c>
      <c r="D14" s="2" t="s">
        <v>16</v>
      </c>
      <c r="E14" s="2">
        <v>71828.259999999995</v>
      </c>
      <c r="F14" s="2">
        <v>12775</v>
      </c>
      <c r="G14" s="2">
        <v>0.11600000000000001</v>
      </c>
      <c r="H14" s="2">
        <v>30</v>
      </c>
      <c r="I14" s="2">
        <v>81.7</v>
      </c>
      <c r="J14" s="2">
        <v>4.24</v>
      </c>
      <c r="K14" s="2">
        <v>1</v>
      </c>
      <c r="L14" s="2">
        <v>4.2</v>
      </c>
      <c r="M14" s="2">
        <v>922168.6</v>
      </c>
      <c r="N14" s="2">
        <v>107494.53</v>
      </c>
    </row>
    <row r="15" spans="1:14">
      <c r="A15" s="2" t="s">
        <v>22</v>
      </c>
      <c r="B15" s="3">
        <v>45689</v>
      </c>
      <c r="C15" s="2" t="s">
        <v>15</v>
      </c>
      <c r="D15" s="2" t="s">
        <v>16</v>
      </c>
      <c r="E15" s="2">
        <v>55716.82</v>
      </c>
      <c r="F15" s="2">
        <v>10054</v>
      </c>
      <c r="G15" s="2">
        <v>0.14599999999999999</v>
      </c>
      <c r="H15" s="2">
        <v>24</v>
      </c>
      <c r="I15" s="2">
        <v>84.9</v>
      </c>
      <c r="J15" s="2">
        <v>1.06</v>
      </c>
      <c r="K15" s="2">
        <v>0</v>
      </c>
      <c r="L15" s="2">
        <v>4.3</v>
      </c>
      <c r="M15" s="2">
        <v>726606.28</v>
      </c>
      <c r="N15" s="2">
        <v>122729.29</v>
      </c>
    </row>
    <row r="16" spans="1:14">
      <c r="A16" s="2" t="s">
        <v>22</v>
      </c>
      <c r="B16" s="3">
        <v>45717</v>
      </c>
      <c r="C16" s="2" t="s">
        <v>15</v>
      </c>
      <c r="D16" s="2" t="s">
        <v>16</v>
      </c>
      <c r="E16" s="2">
        <v>59909.51</v>
      </c>
      <c r="F16" s="2">
        <v>8895</v>
      </c>
      <c r="G16" s="2">
        <v>0.22800000000000001</v>
      </c>
      <c r="H16" s="2">
        <v>23</v>
      </c>
      <c r="I16" s="2">
        <v>88.8</v>
      </c>
      <c r="J16" s="2">
        <v>0.27</v>
      </c>
      <c r="K16" s="2">
        <v>0</v>
      </c>
      <c r="L16" s="2">
        <v>4.3</v>
      </c>
      <c r="M16" s="2">
        <v>746501.09</v>
      </c>
      <c r="N16" s="2">
        <v>136816.72</v>
      </c>
    </row>
    <row r="17" spans="1:14">
      <c r="A17" s="2" t="s">
        <v>22</v>
      </c>
      <c r="B17" s="3">
        <v>45748</v>
      </c>
      <c r="C17" s="2" t="s">
        <v>15</v>
      </c>
      <c r="D17" s="2" t="s">
        <v>16</v>
      </c>
      <c r="E17" s="2">
        <v>75305.710000000006</v>
      </c>
      <c r="F17" s="2">
        <v>10940</v>
      </c>
      <c r="G17" s="2">
        <v>6.0000000000000001E-3</v>
      </c>
      <c r="H17" s="2">
        <v>26</v>
      </c>
      <c r="I17" s="2">
        <v>76.5</v>
      </c>
      <c r="J17" s="2">
        <v>1.32</v>
      </c>
      <c r="K17" s="2">
        <v>0</v>
      </c>
      <c r="L17" s="2">
        <v>4.5</v>
      </c>
      <c r="M17" s="2">
        <v>834017.02</v>
      </c>
      <c r="N17" s="2">
        <v>114745.03</v>
      </c>
    </row>
    <row r="18" spans="1:14">
      <c r="A18" s="2" t="s">
        <v>23</v>
      </c>
      <c r="B18" s="3">
        <v>45658</v>
      </c>
      <c r="C18" s="2" t="s">
        <v>24</v>
      </c>
      <c r="D18" s="2" t="s">
        <v>16</v>
      </c>
      <c r="E18" s="2">
        <v>48804.22</v>
      </c>
      <c r="F18" s="2">
        <v>7057</v>
      </c>
      <c r="G18" s="2">
        <v>5.0000000000000001E-3</v>
      </c>
      <c r="H18" s="2">
        <v>15</v>
      </c>
      <c r="I18" s="2">
        <v>87.7</v>
      </c>
      <c r="J18" s="2">
        <v>1.22</v>
      </c>
      <c r="K18" s="2">
        <v>0</v>
      </c>
      <c r="L18" s="2">
        <v>3.7</v>
      </c>
      <c r="M18" s="2">
        <v>666152.52</v>
      </c>
      <c r="N18" s="2">
        <v>107490.58</v>
      </c>
    </row>
    <row r="19" spans="1:14">
      <c r="A19" s="2" t="s">
        <v>23</v>
      </c>
      <c r="B19" s="3">
        <v>45689</v>
      </c>
      <c r="C19" s="2" t="s">
        <v>24</v>
      </c>
      <c r="D19" s="2" t="s">
        <v>16</v>
      </c>
      <c r="E19" s="2">
        <v>59117.9</v>
      </c>
      <c r="F19" s="2">
        <v>4263</v>
      </c>
      <c r="G19" s="2">
        <v>0.11899999999999999</v>
      </c>
      <c r="H19" s="2">
        <v>9</v>
      </c>
      <c r="I19" s="2">
        <v>87.6</v>
      </c>
      <c r="J19" s="2">
        <v>4.01</v>
      </c>
      <c r="K19" s="2">
        <v>0</v>
      </c>
      <c r="L19" s="2">
        <v>3.6</v>
      </c>
      <c r="M19" s="2">
        <v>573155.18999999994</v>
      </c>
      <c r="N19" s="2">
        <v>83680.75</v>
      </c>
    </row>
    <row r="20" spans="1:14">
      <c r="A20" s="2" t="s">
        <v>23</v>
      </c>
      <c r="B20" s="3">
        <v>45717</v>
      </c>
      <c r="C20" s="2" t="s">
        <v>24</v>
      </c>
      <c r="D20" s="2" t="s">
        <v>16</v>
      </c>
      <c r="E20" s="2">
        <v>78831.12</v>
      </c>
      <c r="F20" s="2">
        <v>5538</v>
      </c>
      <c r="G20" s="2">
        <v>0</v>
      </c>
      <c r="H20" s="2">
        <v>15</v>
      </c>
      <c r="I20" s="2">
        <v>94.1</v>
      </c>
      <c r="J20" s="2">
        <v>0.2</v>
      </c>
      <c r="K20" s="2">
        <v>0</v>
      </c>
      <c r="L20" s="2">
        <v>3.9</v>
      </c>
      <c r="M20" s="2">
        <v>666573.19999999995</v>
      </c>
      <c r="N20" s="2">
        <v>140641.01999999999</v>
      </c>
    </row>
    <row r="21" spans="1:14">
      <c r="A21" s="2" t="s">
        <v>23</v>
      </c>
      <c r="B21" s="3">
        <v>45748</v>
      </c>
      <c r="C21" s="2" t="s">
        <v>24</v>
      </c>
      <c r="D21" s="2" t="s">
        <v>16</v>
      </c>
      <c r="E21" s="2">
        <v>41441.93</v>
      </c>
      <c r="F21" s="2">
        <v>4865</v>
      </c>
      <c r="G21" s="2">
        <v>0.158</v>
      </c>
      <c r="H21" s="2">
        <v>16</v>
      </c>
      <c r="I21" s="2">
        <v>88.3</v>
      </c>
      <c r="J21" s="2">
        <v>0.5</v>
      </c>
      <c r="K21" s="2">
        <v>0</v>
      </c>
      <c r="L21" s="2">
        <v>4</v>
      </c>
      <c r="M21" s="2">
        <v>591619.94999999995</v>
      </c>
      <c r="N21" s="2">
        <v>99521.35</v>
      </c>
    </row>
    <row r="22" spans="1:14">
      <c r="A22" s="2" t="s">
        <v>25</v>
      </c>
      <c r="B22" s="3">
        <v>45658</v>
      </c>
      <c r="C22" s="2" t="s">
        <v>20</v>
      </c>
      <c r="D22" s="2" t="s">
        <v>16</v>
      </c>
      <c r="E22" s="2">
        <v>30356.28</v>
      </c>
      <c r="F22" s="2">
        <v>2822</v>
      </c>
      <c r="G22" s="2">
        <v>0.23100000000000001</v>
      </c>
      <c r="H22" s="2">
        <v>9</v>
      </c>
      <c r="I22" s="2">
        <v>84.8</v>
      </c>
      <c r="J22" s="2">
        <v>6.95</v>
      </c>
      <c r="K22" s="2">
        <v>0</v>
      </c>
      <c r="L22" s="2">
        <v>5</v>
      </c>
      <c r="M22" s="2">
        <v>415721.82</v>
      </c>
      <c r="N22" s="2">
        <v>61179.15</v>
      </c>
    </row>
    <row r="23" spans="1:14">
      <c r="A23" s="2" t="s">
        <v>25</v>
      </c>
      <c r="B23" s="3">
        <v>45689</v>
      </c>
      <c r="C23" s="2" t="s">
        <v>20</v>
      </c>
      <c r="D23" s="2" t="s">
        <v>16</v>
      </c>
      <c r="E23" s="2">
        <v>33518.879999999997</v>
      </c>
      <c r="F23" s="2">
        <v>2121</v>
      </c>
      <c r="G23" s="2">
        <v>0.17599999999999999</v>
      </c>
      <c r="H23" s="2">
        <v>8</v>
      </c>
      <c r="I23" s="2">
        <v>88.5</v>
      </c>
      <c r="J23" s="2">
        <v>0.2</v>
      </c>
      <c r="K23" s="2">
        <v>0</v>
      </c>
      <c r="L23" s="2">
        <v>5</v>
      </c>
      <c r="M23" s="2">
        <v>491905.13</v>
      </c>
      <c r="N23" s="2">
        <v>79212.259999999995</v>
      </c>
    </row>
    <row r="24" spans="1:14">
      <c r="A24" s="2" t="s">
        <v>25</v>
      </c>
      <c r="B24" s="3">
        <v>45717</v>
      </c>
      <c r="C24" s="2" t="s">
        <v>20</v>
      </c>
      <c r="D24" s="2" t="s">
        <v>16</v>
      </c>
      <c r="E24" s="2">
        <v>42267.37</v>
      </c>
      <c r="F24" s="2">
        <v>3364</v>
      </c>
      <c r="G24" s="2">
        <v>0.16</v>
      </c>
      <c r="H24" s="2">
        <v>13</v>
      </c>
      <c r="I24" s="2">
        <v>82</v>
      </c>
      <c r="J24" s="2">
        <v>1.61</v>
      </c>
      <c r="K24" s="2">
        <v>1</v>
      </c>
      <c r="L24" s="2">
        <v>4.5999999999999996</v>
      </c>
      <c r="M24" s="2">
        <v>555929.4</v>
      </c>
      <c r="N24" s="2">
        <v>115201.76</v>
      </c>
    </row>
    <row r="25" spans="1:14">
      <c r="A25" s="2" t="s">
        <v>25</v>
      </c>
      <c r="B25" s="3">
        <v>45748</v>
      </c>
      <c r="C25" s="2" t="s">
        <v>20</v>
      </c>
      <c r="D25" s="2" t="s">
        <v>16</v>
      </c>
      <c r="E25" s="2">
        <v>62060.43</v>
      </c>
      <c r="F25" s="2">
        <v>2613</v>
      </c>
      <c r="G25" s="2">
        <v>0.216</v>
      </c>
      <c r="H25" s="2">
        <v>12</v>
      </c>
      <c r="I25" s="2">
        <v>92.1</v>
      </c>
      <c r="J25" s="2">
        <v>1.55</v>
      </c>
      <c r="K25" s="2">
        <v>0</v>
      </c>
      <c r="L25" s="2">
        <v>4.7</v>
      </c>
      <c r="M25" s="2">
        <v>565810.99</v>
      </c>
      <c r="N25" s="2">
        <v>77825.460000000006</v>
      </c>
    </row>
    <row r="26" spans="1:14">
      <c r="A26" s="2" t="s">
        <v>26</v>
      </c>
      <c r="B26" s="3">
        <v>45658</v>
      </c>
      <c r="C26" s="2" t="s">
        <v>27</v>
      </c>
      <c r="D26" s="2" t="s">
        <v>28</v>
      </c>
      <c r="E26" s="2">
        <v>57696.69</v>
      </c>
      <c r="F26" s="2">
        <v>10218</v>
      </c>
      <c r="G26" s="2">
        <v>0.121</v>
      </c>
      <c r="H26" s="2">
        <v>25</v>
      </c>
      <c r="I26" s="2">
        <v>94.8</v>
      </c>
      <c r="J26" s="2">
        <v>2.99</v>
      </c>
      <c r="K26" s="2">
        <v>0</v>
      </c>
      <c r="L26" s="2">
        <v>3.5</v>
      </c>
      <c r="M26" s="2">
        <v>811771.14</v>
      </c>
      <c r="N26" s="2">
        <v>148756.24</v>
      </c>
    </row>
    <row r="27" spans="1:14">
      <c r="A27" s="2" t="s">
        <v>26</v>
      </c>
      <c r="B27" s="3">
        <v>45689</v>
      </c>
      <c r="C27" s="2" t="s">
        <v>27</v>
      </c>
      <c r="D27" s="2" t="s">
        <v>28</v>
      </c>
      <c r="E27" s="2">
        <v>172415.52</v>
      </c>
      <c r="F27" s="2">
        <v>8927</v>
      </c>
      <c r="G27" s="2">
        <v>0.14000000000000001</v>
      </c>
      <c r="H27" s="2">
        <v>22</v>
      </c>
      <c r="I27" s="2">
        <v>86.2</v>
      </c>
      <c r="J27" s="2">
        <v>7.04</v>
      </c>
      <c r="K27" s="2">
        <v>0</v>
      </c>
      <c r="L27" s="2">
        <v>3.9</v>
      </c>
      <c r="M27" s="2">
        <v>800451.94</v>
      </c>
      <c r="N27" s="2">
        <v>111572.29</v>
      </c>
    </row>
    <row r="28" spans="1:14">
      <c r="A28" s="2" t="s">
        <v>26</v>
      </c>
      <c r="B28" s="3">
        <v>45717</v>
      </c>
      <c r="C28" s="2" t="s">
        <v>27</v>
      </c>
      <c r="D28" s="2" t="s">
        <v>28</v>
      </c>
      <c r="E28" s="2">
        <v>55270.52</v>
      </c>
      <c r="F28" s="2">
        <v>9315</v>
      </c>
      <c r="G28" s="2">
        <v>0.16900000000000001</v>
      </c>
      <c r="H28" s="2">
        <v>23</v>
      </c>
      <c r="I28" s="2">
        <v>91.9</v>
      </c>
      <c r="J28" s="2">
        <v>4.9400000000000004</v>
      </c>
      <c r="K28" s="2">
        <v>0</v>
      </c>
      <c r="L28" s="2">
        <v>4</v>
      </c>
      <c r="M28" s="2">
        <v>783672.82</v>
      </c>
      <c r="N28" s="2">
        <v>112577.14</v>
      </c>
    </row>
    <row r="29" spans="1:14">
      <c r="A29" s="2" t="s">
        <v>26</v>
      </c>
      <c r="B29" s="3">
        <v>45748</v>
      </c>
      <c r="C29" s="2" t="s">
        <v>27</v>
      </c>
      <c r="D29" s="2" t="s">
        <v>28</v>
      </c>
      <c r="E29" s="2">
        <v>52715.1</v>
      </c>
      <c r="F29" s="2">
        <v>7223</v>
      </c>
      <c r="G29" s="2">
        <v>0.122</v>
      </c>
      <c r="H29" s="2">
        <v>16</v>
      </c>
      <c r="I29" s="2">
        <v>84.2</v>
      </c>
      <c r="J29" s="2">
        <v>16.149999999999999</v>
      </c>
      <c r="K29" s="2">
        <v>0</v>
      </c>
      <c r="L29" s="2">
        <v>3.7</v>
      </c>
      <c r="M29" s="2">
        <v>701641.97</v>
      </c>
      <c r="N29" s="2">
        <v>106111.86</v>
      </c>
    </row>
    <row r="30" spans="1:14">
      <c r="A30" s="2" t="s">
        <v>29</v>
      </c>
      <c r="B30" s="3">
        <v>45658</v>
      </c>
      <c r="C30" s="2" t="s">
        <v>15</v>
      </c>
      <c r="D30" s="2" t="s">
        <v>16</v>
      </c>
      <c r="E30" s="2">
        <v>68600.62</v>
      </c>
      <c r="F30" s="2">
        <v>3988</v>
      </c>
      <c r="G30" s="2">
        <v>0.124</v>
      </c>
      <c r="H30" s="2">
        <v>11</v>
      </c>
      <c r="I30" s="2">
        <v>85</v>
      </c>
      <c r="J30" s="2">
        <v>0.48</v>
      </c>
      <c r="K30" s="2">
        <v>0</v>
      </c>
      <c r="L30" s="2">
        <v>3.6</v>
      </c>
      <c r="M30" s="2">
        <v>511844.41</v>
      </c>
      <c r="N30" s="2">
        <v>72774.44</v>
      </c>
    </row>
    <row r="31" spans="1:14">
      <c r="A31" s="2" t="s">
        <v>29</v>
      </c>
      <c r="B31" s="3">
        <v>45689</v>
      </c>
      <c r="C31" s="2" t="s">
        <v>15</v>
      </c>
      <c r="D31" s="2" t="s">
        <v>16</v>
      </c>
      <c r="E31" s="2">
        <v>63176.73</v>
      </c>
      <c r="F31" s="2">
        <v>2390</v>
      </c>
      <c r="G31" s="2">
        <v>0.216</v>
      </c>
      <c r="H31" s="2">
        <v>9</v>
      </c>
      <c r="I31" s="2">
        <v>87.5</v>
      </c>
      <c r="J31" s="2">
        <v>0.31</v>
      </c>
      <c r="K31" s="2">
        <v>0</v>
      </c>
      <c r="L31" s="2">
        <v>3.1</v>
      </c>
      <c r="M31" s="2">
        <v>537383.79</v>
      </c>
      <c r="N31" s="2">
        <v>63773.27</v>
      </c>
    </row>
    <row r="32" spans="1:14">
      <c r="A32" s="2" t="s">
        <v>29</v>
      </c>
      <c r="B32" s="3">
        <v>45717</v>
      </c>
      <c r="C32" s="2" t="s">
        <v>15</v>
      </c>
      <c r="D32" s="2" t="s">
        <v>16</v>
      </c>
      <c r="E32" s="2">
        <v>44970.080000000002</v>
      </c>
      <c r="F32" s="2">
        <v>2471</v>
      </c>
      <c r="G32" s="2">
        <v>0.13600000000000001</v>
      </c>
      <c r="H32" s="2">
        <v>11</v>
      </c>
      <c r="I32" s="2">
        <v>87.6</v>
      </c>
      <c r="J32" s="2">
        <v>3.01</v>
      </c>
      <c r="K32" s="2">
        <v>1</v>
      </c>
      <c r="L32" s="2">
        <v>3.7</v>
      </c>
      <c r="M32" s="2">
        <v>500173.02</v>
      </c>
      <c r="N32" s="2">
        <v>70982.05</v>
      </c>
    </row>
    <row r="33" spans="1:14">
      <c r="A33" s="2" t="s">
        <v>29</v>
      </c>
      <c r="B33" s="3">
        <v>45748</v>
      </c>
      <c r="C33" s="2" t="s">
        <v>15</v>
      </c>
      <c r="D33" s="2" t="s">
        <v>16</v>
      </c>
      <c r="E33" s="2">
        <v>69816.350000000006</v>
      </c>
      <c r="F33" s="2">
        <v>971</v>
      </c>
      <c r="G33" s="2">
        <v>0.16800000000000001</v>
      </c>
      <c r="H33" s="2">
        <v>5</v>
      </c>
      <c r="I33" s="2">
        <v>89.9</v>
      </c>
      <c r="J33" s="2">
        <v>12.15</v>
      </c>
      <c r="K33" s="2">
        <v>0</v>
      </c>
      <c r="L33" s="2">
        <v>3.6</v>
      </c>
      <c r="M33" s="2">
        <v>427917.38</v>
      </c>
      <c r="N33" s="2">
        <v>81824.31</v>
      </c>
    </row>
    <row r="34" spans="1:14">
      <c r="A34" s="2" t="s">
        <v>30</v>
      </c>
      <c r="B34" s="3">
        <v>45658</v>
      </c>
      <c r="C34" s="2" t="s">
        <v>20</v>
      </c>
      <c r="D34" s="2" t="s">
        <v>16</v>
      </c>
      <c r="E34" s="2">
        <v>54597.83</v>
      </c>
      <c r="F34" s="2">
        <v>9429</v>
      </c>
      <c r="G34" s="2">
        <v>0.188</v>
      </c>
      <c r="H34" s="2">
        <v>21</v>
      </c>
      <c r="I34" s="2">
        <v>83.3</v>
      </c>
      <c r="J34" s="2">
        <v>11.71</v>
      </c>
      <c r="K34" s="2">
        <v>0</v>
      </c>
      <c r="L34" s="2">
        <v>4.2</v>
      </c>
      <c r="M34" s="2">
        <v>641865.03</v>
      </c>
      <c r="N34" s="2">
        <v>81342.58</v>
      </c>
    </row>
    <row r="35" spans="1:14">
      <c r="A35" s="2" t="s">
        <v>30</v>
      </c>
      <c r="B35" s="3">
        <v>45689</v>
      </c>
      <c r="C35" s="2" t="s">
        <v>20</v>
      </c>
      <c r="D35" s="2" t="s">
        <v>16</v>
      </c>
      <c r="E35" s="2">
        <v>73771.91</v>
      </c>
      <c r="F35" s="2">
        <v>11695</v>
      </c>
      <c r="G35" s="2">
        <v>7.0000000000000007E-2</v>
      </c>
      <c r="H35" s="2">
        <v>25</v>
      </c>
      <c r="I35" s="2">
        <v>84.7</v>
      </c>
      <c r="J35" s="2">
        <v>0.62</v>
      </c>
      <c r="K35" s="2">
        <v>0</v>
      </c>
      <c r="L35" s="2"/>
      <c r="M35" s="2">
        <v>799477.76000000001</v>
      </c>
      <c r="N35" s="2">
        <v>164974.41</v>
      </c>
    </row>
    <row r="36" spans="1:14">
      <c r="A36" s="2" t="s">
        <v>30</v>
      </c>
      <c r="B36" s="3">
        <v>45717</v>
      </c>
      <c r="C36" s="2" t="s">
        <v>20</v>
      </c>
      <c r="D36" s="2" t="s">
        <v>16</v>
      </c>
      <c r="E36" s="2">
        <v>74413.88</v>
      </c>
      <c r="F36" s="2">
        <v>9449</v>
      </c>
      <c r="G36" s="2">
        <v>3.9E-2</v>
      </c>
      <c r="H36" s="2">
        <v>23</v>
      </c>
      <c r="I36" s="2">
        <v>92.1</v>
      </c>
      <c r="J36" s="2">
        <v>2.12</v>
      </c>
      <c r="K36" s="2">
        <v>0</v>
      </c>
      <c r="L36" s="2">
        <v>3.5</v>
      </c>
      <c r="M36" s="2">
        <v>798952.17</v>
      </c>
      <c r="N36" s="2">
        <v>161499.04</v>
      </c>
    </row>
    <row r="37" spans="1:14">
      <c r="A37" s="2" t="s">
        <v>30</v>
      </c>
      <c r="B37" s="3">
        <v>45748</v>
      </c>
      <c r="C37" s="2" t="s">
        <v>20</v>
      </c>
      <c r="D37" s="2" t="s">
        <v>16</v>
      </c>
      <c r="E37" s="2">
        <v>52483.77</v>
      </c>
      <c r="F37" s="2">
        <v>10453</v>
      </c>
      <c r="G37" s="2">
        <v>0.247</v>
      </c>
      <c r="H37" s="2">
        <v>25</v>
      </c>
      <c r="I37" s="2">
        <v>99</v>
      </c>
      <c r="J37" s="2">
        <v>6.31</v>
      </c>
      <c r="K37" s="2">
        <v>0</v>
      </c>
      <c r="L37" s="2">
        <v>3.6</v>
      </c>
      <c r="M37" s="2">
        <v>800979.78</v>
      </c>
      <c r="N37" s="2">
        <v>149242.26999999999</v>
      </c>
    </row>
    <row r="38" spans="1:14">
      <c r="A38" s="2" t="s">
        <v>31</v>
      </c>
      <c r="B38" s="3">
        <v>45658</v>
      </c>
      <c r="C38" s="2" t="s">
        <v>20</v>
      </c>
      <c r="D38" s="2" t="s">
        <v>28</v>
      </c>
      <c r="E38" s="2">
        <v>75269.87</v>
      </c>
      <c r="F38" s="2">
        <v>8838</v>
      </c>
      <c r="G38" s="2">
        <v>9.1999999999999998E-2</v>
      </c>
      <c r="H38" s="2">
        <v>21</v>
      </c>
      <c r="I38" s="2">
        <v>83.1</v>
      </c>
      <c r="J38" s="2">
        <v>9.56</v>
      </c>
      <c r="K38" s="2">
        <v>1</v>
      </c>
      <c r="L38" s="2">
        <v>4.2</v>
      </c>
      <c r="M38" s="2">
        <v>820593.93</v>
      </c>
      <c r="N38" s="2">
        <v>115860.06</v>
      </c>
    </row>
    <row r="39" spans="1:14">
      <c r="A39" s="2" t="s">
        <v>31</v>
      </c>
      <c r="B39" s="3">
        <v>45689</v>
      </c>
      <c r="C39" s="2" t="s">
        <v>20</v>
      </c>
      <c r="D39" s="2" t="s">
        <v>28</v>
      </c>
      <c r="E39" s="2">
        <v>61245.41</v>
      </c>
      <c r="F39" s="2">
        <v>8156</v>
      </c>
      <c r="G39" s="2">
        <v>0.156</v>
      </c>
      <c r="H39" s="2">
        <v>19</v>
      </c>
      <c r="I39" s="2">
        <v>92.9</v>
      </c>
      <c r="J39" s="2">
        <v>9.0500000000000007</v>
      </c>
      <c r="K39" s="2">
        <v>0</v>
      </c>
      <c r="L39" s="2">
        <v>3.8</v>
      </c>
      <c r="M39" s="2">
        <v>718330.53</v>
      </c>
      <c r="N39" s="2">
        <v>93247.9</v>
      </c>
    </row>
    <row r="40" spans="1:14">
      <c r="A40" s="2" t="s">
        <v>31</v>
      </c>
      <c r="B40" s="3">
        <v>45717</v>
      </c>
      <c r="C40" s="2" t="s">
        <v>20</v>
      </c>
      <c r="D40" s="2" t="s">
        <v>28</v>
      </c>
      <c r="E40" s="2">
        <v>93381.26</v>
      </c>
      <c r="F40" s="2">
        <v>7562</v>
      </c>
      <c r="G40" s="2">
        <v>0.19800000000000001</v>
      </c>
      <c r="H40" s="2">
        <v>19</v>
      </c>
      <c r="I40" s="2">
        <v>82.9</v>
      </c>
      <c r="J40" s="2">
        <v>5.05</v>
      </c>
      <c r="K40" s="2">
        <v>0</v>
      </c>
      <c r="L40" s="2">
        <v>4</v>
      </c>
      <c r="M40" s="2">
        <v>736633.4</v>
      </c>
      <c r="N40" s="2">
        <v>115654.66</v>
      </c>
    </row>
    <row r="41" spans="1:14">
      <c r="A41" s="2" t="s">
        <v>31</v>
      </c>
      <c r="B41" s="3">
        <v>45748</v>
      </c>
      <c r="C41" s="2" t="s">
        <v>20</v>
      </c>
      <c r="D41" s="2" t="s">
        <v>28</v>
      </c>
      <c r="E41" s="2">
        <v>65012.19</v>
      </c>
      <c r="F41" s="2">
        <v>9598</v>
      </c>
      <c r="G41" s="2">
        <v>8.5000000000000006E-2</v>
      </c>
      <c r="H41" s="2">
        <v>24</v>
      </c>
      <c r="I41" s="2">
        <v>98.3</v>
      </c>
      <c r="J41" s="2">
        <v>0.89</v>
      </c>
      <c r="K41" s="2">
        <v>0</v>
      </c>
      <c r="L41" s="2">
        <v>3.8</v>
      </c>
      <c r="M41" s="2">
        <v>828623.85</v>
      </c>
      <c r="N41" s="2">
        <v>167320.51999999999</v>
      </c>
    </row>
    <row r="42" spans="1:14">
      <c r="A42" s="2" t="s">
        <v>32</v>
      </c>
      <c r="B42" s="3">
        <v>45658</v>
      </c>
      <c r="C42" s="2" t="s">
        <v>15</v>
      </c>
      <c r="D42" s="2" t="s">
        <v>28</v>
      </c>
      <c r="E42" s="2">
        <v>40462.94</v>
      </c>
      <c r="F42" s="2">
        <v>3660</v>
      </c>
      <c r="G42" s="2">
        <v>0.218</v>
      </c>
      <c r="H42" s="2">
        <v>11</v>
      </c>
      <c r="I42" s="2">
        <v>95.2</v>
      </c>
      <c r="J42" s="2">
        <v>5.57</v>
      </c>
      <c r="K42" s="2">
        <v>0</v>
      </c>
      <c r="L42" s="2">
        <v>4.4000000000000004</v>
      </c>
      <c r="M42" s="2">
        <v>592195.85</v>
      </c>
      <c r="N42" s="2">
        <v>92291.56</v>
      </c>
    </row>
    <row r="43" spans="1:14">
      <c r="A43" s="2" t="s">
        <v>32</v>
      </c>
      <c r="B43" s="3">
        <v>45689</v>
      </c>
      <c r="C43" s="2" t="s">
        <v>15</v>
      </c>
      <c r="D43" s="2" t="s">
        <v>28</v>
      </c>
      <c r="E43" s="2">
        <v>46123.88</v>
      </c>
      <c r="F43" s="2">
        <v>3227</v>
      </c>
      <c r="G43" s="2">
        <v>0.14299999999999999</v>
      </c>
      <c r="H43" s="2">
        <v>10</v>
      </c>
      <c r="I43" s="2">
        <v>75.400000000000006</v>
      </c>
      <c r="J43" s="2">
        <v>1.06</v>
      </c>
      <c r="K43" s="2">
        <v>0</v>
      </c>
      <c r="L43" s="2">
        <v>4.4000000000000004</v>
      </c>
      <c r="M43" s="2">
        <v>532644.46</v>
      </c>
      <c r="N43" s="2">
        <v>60681.32</v>
      </c>
    </row>
    <row r="44" spans="1:14">
      <c r="A44" s="2" t="s">
        <v>32</v>
      </c>
      <c r="B44" s="3">
        <v>45717</v>
      </c>
      <c r="C44" s="2" t="s">
        <v>15</v>
      </c>
      <c r="D44" s="2" t="s">
        <v>28</v>
      </c>
      <c r="E44" s="2">
        <v>68077.539999999994</v>
      </c>
      <c r="F44" s="2">
        <v>3360</v>
      </c>
      <c r="G44" s="2">
        <v>0.128</v>
      </c>
      <c r="H44" s="2">
        <v>14</v>
      </c>
      <c r="I44" s="2">
        <v>88.2</v>
      </c>
      <c r="J44" s="2">
        <v>1.24</v>
      </c>
      <c r="K44" s="2">
        <v>1</v>
      </c>
      <c r="L44" s="2">
        <v>4</v>
      </c>
      <c r="M44" s="2">
        <v>657429.18000000005</v>
      </c>
      <c r="N44" s="2">
        <v>88919.74</v>
      </c>
    </row>
    <row r="45" spans="1:14">
      <c r="A45" s="2" t="s">
        <v>32</v>
      </c>
      <c r="B45" s="3">
        <v>45748</v>
      </c>
      <c r="C45" s="2" t="s">
        <v>15</v>
      </c>
      <c r="D45" s="2" t="s">
        <v>28</v>
      </c>
      <c r="E45" s="2">
        <v>64882.14</v>
      </c>
      <c r="F45" s="2">
        <v>3642</v>
      </c>
      <c r="G45" s="2">
        <v>1.9E-2</v>
      </c>
      <c r="H45" s="2">
        <v>13</v>
      </c>
      <c r="I45" s="2">
        <v>87.8</v>
      </c>
      <c r="J45" s="2">
        <v>4.5199999999999996</v>
      </c>
      <c r="K45" s="2">
        <v>0</v>
      </c>
      <c r="L45" s="2">
        <v>4.2</v>
      </c>
      <c r="M45" s="2">
        <v>605178</v>
      </c>
      <c r="N45" s="2">
        <v>106958.74</v>
      </c>
    </row>
    <row r="46" spans="1:14">
      <c r="A46" s="2" t="s">
        <v>33</v>
      </c>
      <c r="B46" s="3">
        <v>45658</v>
      </c>
      <c r="C46" s="2" t="s">
        <v>27</v>
      </c>
      <c r="D46" s="2" t="s">
        <v>16</v>
      </c>
      <c r="E46" s="2">
        <v>138855.51</v>
      </c>
      <c r="F46" s="2">
        <v>5145</v>
      </c>
      <c r="G46" s="2">
        <v>0.06</v>
      </c>
      <c r="H46" s="2">
        <v>17</v>
      </c>
      <c r="I46" s="2">
        <v>88.2</v>
      </c>
      <c r="J46" s="2">
        <v>9.58</v>
      </c>
      <c r="K46" s="2">
        <v>0</v>
      </c>
      <c r="L46" s="2">
        <v>3.2</v>
      </c>
      <c r="M46" s="2">
        <v>595467.6</v>
      </c>
      <c r="N46" s="2">
        <v>104276.46</v>
      </c>
    </row>
    <row r="47" spans="1:14">
      <c r="A47" s="2" t="s">
        <v>33</v>
      </c>
      <c r="B47" s="3">
        <v>45689</v>
      </c>
      <c r="C47" s="2" t="s">
        <v>27</v>
      </c>
      <c r="D47" s="2" t="s">
        <v>16</v>
      </c>
      <c r="E47" s="2">
        <v>63630.21</v>
      </c>
      <c r="F47" s="2">
        <v>4460</v>
      </c>
      <c r="G47" s="2">
        <v>0.23499999999999999</v>
      </c>
      <c r="H47" s="2">
        <v>14</v>
      </c>
      <c r="I47" s="2">
        <v>98.6</v>
      </c>
      <c r="J47" s="2">
        <v>5.52</v>
      </c>
      <c r="K47" s="2">
        <v>0</v>
      </c>
      <c r="L47" s="2">
        <v>3.5</v>
      </c>
      <c r="M47" s="2">
        <v>599603.4</v>
      </c>
      <c r="N47" s="2">
        <v>112685.12</v>
      </c>
    </row>
    <row r="48" spans="1:14">
      <c r="A48" s="2" t="s">
        <v>33</v>
      </c>
      <c r="B48" s="3">
        <v>45717</v>
      </c>
      <c r="C48" s="2" t="s">
        <v>27</v>
      </c>
      <c r="D48" s="2" t="s">
        <v>16</v>
      </c>
      <c r="E48" s="2">
        <v>50043.65</v>
      </c>
      <c r="F48" s="2">
        <v>3804</v>
      </c>
      <c r="G48" s="2">
        <v>0.113</v>
      </c>
      <c r="H48" s="2">
        <v>11</v>
      </c>
      <c r="I48" s="2">
        <v>90.9</v>
      </c>
      <c r="J48" s="2">
        <v>2.7</v>
      </c>
      <c r="K48" s="2">
        <v>1</v>
      </c>
      <c r="L48" s="2">
        <v>3.2</v>
      </c>
      <c r="M48" s="2">
        <v>614800.09</v>
      </c>
      <c r="N48" s="2">
        <v>100044.2</v>
      </c>
    </row>
    <row r="49" spans="1:14">
      <c r="A49" s="2" t="s">
        <v>33</v>
      </c>
      <c r="B49" s="3">
        <v>45748</v>
      </c>
      <c r="C49" s="2" t="s">
        <v>27</v>
      </c>
      <c r="D49" s="2" t="s">
        <v>16</v>
      </c>
      <c r="E49" s="2">
        <v>42093.84</v>
      </c>
      <c r="F49" s="2">
        <v>4074</v>
      </c>
      <c r="G49" s="2">
        <v>0.155</v>
      </c>
      <c r="H49" s="2">
        <v>15</v>
      </c>
      <c r="I49" s="2">
        <v>88</v>
      </c>
      <c r="J49" s="2">
        <v>9.64</v>
      </c>
      <c r="K49" s="2">
        <v>0</v>
      </c>
      <c r="L49" s="2">
        <v>3.3</v>
      </c>
      <c r="M49" s="2">
        <v>585365.73</v>
      </c>
      <c r="N49" s="2">
        <v>81011.520000000004</v>
      </c>
    </row>
    <row r="50" spans="1:14">
      <c r="A50" s="2" t="s">
        <v>34</v>
      </c>
      <c r="B50" s="3">
        <v>45658</v>
      </c>
      <c r="C50" s="2" t="s">
        <v>20</v>
      </c>
      <c r="D50" s="2" t="s">
        <v>28</v>
      </c>
      <c r="E50" s="2">
        <v>46624.05</v>
      </c>
      <c r="F50" s="2">
        <v>5104</v>
      </c>
      <c r="G50" s="2">
        <v>0.109</v>
      </c>
      <c r="H50" s="2">
        <v>11</v>
      </c>
      <c r="I50" s="2">
        <v>97.3</v>
      </c>
      <c r="J50" s="2">
        <v>3.49</v>
      </c>
      <c r="K50" s="2">
        <v>1</v>
      </c>
      <c r="L50" s="2">
        <v>4.7</v>
      </c>
      <c r="M50" s="2">
        <v>622811.74</v>
      </c>
      <c r="N50" s="2">
        <v>109978.35</v>
      </c>
    </row>
    <row r="51" spans="1:14">
      <c r="A51" s="2" t="s">
        <v>34</v>
      </c>
      <c r="B51" s="3">
        <v>45689</v>
      </c>
      <c r="C51" s="2" t="s">
        <v>20</v>
      </c>
      <c r="D51" s="2" t="s">
        <v>28</v>
      </c>
      <c r="E51" s="2">
        <v>49710.29</v>
      </c>
      <c r="F51" s="2">
        <v>5559</v>
      </c>
      <c r="G51" s="2">
        <v>0.218</v>
      </c>
      <c r="H51" s="2">
        <v>14</v>
      </c>
      <c r="I51" s="2">
        <v>71</v>
      </c>
      <c r="J51" s="2">
        <v>9.11</v>
      </c>
      <c r="K51" s="2">
        <v>0</v>
      </c>
      <c r="L51" s="2">
        <v>4.5999999999999996</v>
      </c>
      <c r="M51" s="2">
        <v>603297.56999999995</v>
      </c>
      <c r="N51" s="2">
        <v>60592.26</v>
      </c>
    </row>
    <row r="52" spans="1:14">
      <c r="A52" s="2" t="s">
        <v>34</v>
      </c>
      <c r="B52" s="3">
        <v>45717</v>
      </c>
      <c r="C52" s="2" t="s">
        <v>20</v>
      </c>
      <c r="D52" s="2" t="s">
        <v>28</v>
      </c>
      <c r="E52" s="2">
        <v>48287.85</v>
      </c>
      <c r="F52" s="2">
        <v>5150</v>
      </c>
      <c r="G52" s="2">
        <v>8.0000000000000002E-3</v>
      </c>
      <c r="H52" s="2">
        <v>12</v>
      </c>
      <c r="I52" s="2">
        <v>80.400000000000006</v>
      </c>
      <c r="J52" s="2">
        <v>7.4</v>
      </c>
      <c r="K52" s="2">
        <v>0</v>
      </c>
      <c r="L52" s="2">
        <v>4.5</v>
      </c>
      <c r="M52" s="2">
        <v>625672.86</v>
      </c>
      <c r="N52" s="2">
        <v>118020.12</v>
      </c>
    </row>
    <row r="53" spans="1:14">
      <c r="A53" s="2" t="s">
        <v>34</v>
      </c>
      <c r="B53" s="3">
        <v>45748</v>
      </c>
      <c r="C53" s="2" t="s">
        <v>20</v>
      </c>
      <c r="D53" s="2" t="s">
        <v>28</v>
      </c>
      <c r="E53" s="2">
        <v>65312.49</v>
      </c>
      <c r="F53" s="2">
        <v>7189</v>
      </c>
      <c r="G53" s="2">
        <v>0.05</v>
      </c>
      <c r="H53" s="2">
        <v>19</v>
      </c>
      <c r="I53" s="2">
        <v>93.7</v>
      </c>
      <c r="J53" s="2">
        <v>7.16</v>
      </c>
      <c r="K53" s="2">
        <v>0</v>
      </c>
      <c r="L53" s="2">
        <v>4.5999999999999996</v>
      </c>
      <c r="M53" s="2">
        <v>773815.14</v>
      </c>
      <c r="N53" s="2">
        <v>133948.39000000001</v>
      </c>
    </row>
    <row r="54" spans="1:14">
      <c r="A54" s="2" t="s">
        <v>35</v>
      </c>
      <c r="B54" s="3">
        <v>45658</v>
      </c>
      <c r="C54" s="2" t="s">
        <v>27</v>
      </c>
      <c r="D54" s="2" t="s">
        <v>18</v>
      </c>
      <c r="E54" s="2">
        <v>53015.46</v>
      </c>
      <c r="F54" s="2">
        <v>3279</v>
      </c>
      <c r="G54" s="2">
        <v>8.6999999999999994E-2</v>
      </c>
      <c r="H54" s="2">
        <v>9</v>
      </c>
      <c r="I54" s="2">
        <v>84.3</v>
      </c>
      <c r="J54" s="2">
        <v>22.02</v>
      </c>
      <c r="K54" s="2">
        <v>0</v>
      </c>
      <c r="L54" s="2">
        <v>3.9</v>
      </c>
      <c r="M54" s="2">
        <v>463534.25</v>
      </c>
      <c r="N54" s="2">
        <v>81834.539999999994</v>
      </c>
    </row>
    <row r="55" spans="1:14">
      <c r="A55" s="2" t="s">
        <v>35</v>
      </c>
      <c r="B55" s="3">
        <v>45689</v>
      </c>
      <c r="C55" s="2" t="s">
        <v>27</v>
      </c>
      <c r="D55" s="2" t="s">
        <v>18</v>
      </c>
      <c r="E55" s="2">
        <v>99874.01</v>
      </c>
      <c r="F55" s="2">
        <v>5887</v>
      </c>
      <c r="G55" s="2">
        <v>0.26200000000000001</v>
      </c>
      <c r="H55" s="2">
        <v>14</v>
      </c>
      <c r="I55" s="2">
        <v>88.7</v>
      </c>
      <c r="J55" s="2">
        <v>6.18</v>
      </c>
      <c r="K55" s="2">
        <v>0</v>
      </c>
      <c r="L55" s="2">
        <v>4.7</v>
      </c>
      <c r="M55" s="2">
        <v>746677.75</v>
      </c>
      <c r="N55" s="2">
        <v>122437.84</v>
      </c>
    </row>
    <row r="56" spans="1:14">
      <c r="A56" s="2" t="s">
        <v>35</v>
      </c>
      <c r="B56" s="3">
        <v>45717</v>
      </c>
      <c r="C56" s="2" t="s">
        <v>27</v>
      </c>
      <c r="D56" s="2" t="s">
        <v>18</v>
      </c>
      <c r="E56" s="2">
        <v>81195.5</v>
      </c>
      <c r="F56" s="2">
        <v>5516</v>
      </c>
      <c r="G56" s="2">
        <v>0.106</v>
      </c>
      <c r="H56" s="2">
        <v>14</v>
      </c>
      <c r="I56" s="2">
        <v>88</v>
      </c>
      <c r="J56" s="2">
        <v>1.76</v>
      </c>
      <c r="K56" s="2">
        <v>0</v>
      </c>
      <c r="L56" s="2">
        <v>4.3</v>
      </c>
      <c r="M56" s="2">
        <v>720852.5</v>
      </c>
      <c r="N56" s="2">
        <v>98565.62</v>
      </c>
    </row>
    <row r="57" spans="1:14">
      <c r="A57" s="2" t="s">
        <v>35</v>
      </c>
      <c r="B57" s="3">
        <v>45748</v>
      </c>
      <c r="C57" s="2" t="s">
        <v>27</v>
      </c>
      <c r="D57" s="2" t="s">
        <v>18</v>
      </c>
      <c r="E57" s="2">
        <v>27808.6</v>
      </c>
      <c r="F57" s="2">
        <v>2863</v>
      </c>
      <c r="G57" s="2">
        <v>0.08</v>
      </c>
      <c r="H57" s="2">
        <v>13</v>
      </c>
      <c r="I57" s="2">
        <v>89.3</v>
      </c>
      <c r="J57" s="2">
        <v>0.47</v>
      </c>
      <c r="K57" s="2">
        <v>0</v>
      </c>
      <c r="L57" s="2">
        <v>4.0999999999999996</v>
      </c>
      <c r="M57" s="2">
        <v>487464.91</v>
      </c>
      <c r="N57" s="2">
        <v>64562.26</v>
      </c>
    </row>
    <row r="58" spans="1:14">
      <c r="A58" s="2" t="s">
        <v>36</v>
      </c>
      <c r="B58" s="3">
        <v>45658</v>
      </c>
      <c r="C58" s="2" t="s">
        <v>15</v>
      </c>
      <c r="D58" s="2" t="s">
        <v>21</v>
      </c>
      <c r="E58" s="2">
        <v>19365.060000000001</v>
      </c>
      <c r="F58" s="2">
        <v>2378</v>
      </c>
      <c r="G58" s="2">
        <v>0</v>
      </c>
      <c r="H58" s="2">
        <v>12</v>
      </c>
      <c r="I58" s="2">
        <v>94.8</v>
      </c>
      <c r="J58" s="2">
        <v>0.2</v>
      </c>
      <c r="K58" s="2">
        <v>0</v>
      </c>
      <c r="L58" s="2">
        <v>3.5</v>
      </c>
      <c r="M58" s="2">
        <v>518049.26</v>
      </c>
      <c r="N58" s="2">
        <v>108592.49</v>
      </c>
    </row>
    <row r="59" spans="1:14">
      <c r="A59" s="2" t="s">
        <v>36</v>
      </c>
      <c r="B59" s="3">
        <v>45689</v>
      </c>
      <c r="C59" s="2" t="s">
        <v>15</v>
      </c>
      <c r="D59" s="2" t="s">
        <v>21</v>
      </c>
      <c r="E59" s="2">
        <v>59405.68</v>
      </c>
      <c r="F59" s="2">
        <v>2515</v>
      </c>
      <c r="G59" s="2">
        <v>3.9E-2</v>
      </c>
      <c r="H59" s="2">
        <v>12</v>
      </c>
      <c r="I59" s="2">
        <v>76</v>
      </c>
      <c r="J59" s="2">
        <v>5.1100000000000003</v>
      </c>
      <c r="K59" s="2">
        <v>0</v>
      </c>
      <c r="L59" s="2">
        <v>3.7</v>
      </c>
      <c r="M59" s="2">
        <v>500298.48</v>
      </c>
      <c r="N59" s="2">
        <v>73461.320000000007</v>
      </c>
    </row>
    <row r="60" spans="1:14">
      <c r="A60" s="2" t="s">
        <v>36</v>
      </c>
      <c r="B60" s="3">
        <v>45717</v>
      </c>
      <c r="C60" s="2" t="s">
        <v>15</v>
      </c>
      <c r="D60" s="2" t="s">
        <v>21</v>
      </c>
      <c r="E60" s="2">
        <v>118910.48</v>
      </c>
      <c r="F60" s="2">
        <v>4022</v>
      </c>
      <c r="G60" s="2">
        <v>0.13700000000000001</v>
      </c>
      <c r="H60" s="2">
        <v>11</v>
      </c>
      <c r="I60" s="2">
        <v>87.1</v>
      </c>
      <c r="J60" s="2">
        <v>0.2</v>
      </c>
      <c r="K60" s="2">
        <v>0</v>
      </c>
      <c r="L60" s="2">
        <v>3.1</v>
      </c>
      <c r="M60" s="2">
        <v>617291.15</v>
      </c>
      <c r="N60" s="2">
        <v>117782</v>
      </c>
    </row>
    <row r="61" spans="1:14">
      <c r="A61" s="2" t="s">
        <v>36</v>
      </c>
      <c r="B61" s="3">
        <v>45748</v>
      </c>
      <c r="C61" s="2" t="s">
        <v>15</v>
      </c>
      <c r="D61" s="2" t="s">
        <v>21</v>
      </c>
      <c r="E61" s="2">
        <v>52952.12</v>
      </c>
      <c r="F61" s="2">
        <v>4377</v>
      </c>
      <c r="G61" s="2">
        <v>9.1999999999999998E-2</v>
      </c>
      <c r="H61" s="2">
        <v>14</v>
      </c>
      <c r="I61" s="2">
        <v>88.6</v>
      </c>
      <c r="J61" s="2">
        <v>13.59</v>
      </c>
      <c r="K61" s="2">
        <v>0</v>
      </c>
      <c r="L61" s="2">
        <v>3.1</v>
      </c>
      <c r="M61" s="2">
        <v>553756.43000000005</v>
      </c>
      <c r="N61" s="2">
        <v>86166.77</v>
      </c>
    </row>
    <row r="62" spans="1:14">
      <c r="A62" s="2" t="s">
        <v>37</v>
      </c>
      <c r="B62" s="3">
        <v>45658</v>
      </c>
      <c r="C62" s="2" t="s">
        <v>24</v>
      </c>
      <c r="D62" s="2" t="s">
        <v>18</v>
      </c>
      <c r="E62" s="2">
        <v>74907.98</v>
      </c>
      <c r="F62" s="2">
        <v>5306</v>
      </c>
      <c r="G62" s="2">
        <v>6.2E-2</v>
      </c>
      <c r="H62" s="2">
        <v>16</v>
      </c>
      <c r="I62" s="2">
        <v>95.6</v>
      </c>
      <c r="J62" s="2">
        <v>1.02</v>
      </c>
      <c r="K62" s="2">
        <v>0</v>
      </c>
      <c r="L62" s="2">
        <v>3.7</v>
      </c>
      <c r="M62" s="2">
        <v>749559.71</v>
      </c>
      <c r="N62" s="2">
        <v>144522.53</v>
      </c>
    </row>
    <row r="63" spans="1:14">
      <c r="A63" s="2" t="s">
        <v>37</v>
      </c>
      <c r="B63" s="3">
        <v>45689</v>
      </c>
      <c r="C63" s="2" t="s">
        <v>24</v>
      </c>
      <c r="D63" s="2" t="s">
        <v>18</v>
      </c>
      <c r="E63" s="2">
        <v>37284.660000000003</v>
      </c>
      <c r="F63" s="2">
        <v>3928</v>
      </c>
      <c r="G63" s="2">
        <v>7.3999999999999996E-2</v>
      </c>
      <c r="H63" s="2">
        <v>12</v>
      </c>
      <c r="I63" s="2">
        <v>86.5</v>
      </c>
      <c r="J63" s="2">
        <v>1.64</v>
      </c>
      <c r="K63" s="2">
        <v>0</v>
      </c>
      <c r="L63" s="2">
        <v>3.8</v>
      </c>
      <c r="M63" s="2">
        <v>615966.48</v>
      </c>
      <c r="N63" s="2">
        <v>91509.38</v>
      </c>
    </row>
    <row r="64" spans="1:14">
      <c r="A64" s="2" t="s">
        <v>37</v>
      </c>
      <c r="B64" s="3">
        <v>45717</v>
      </c>
      <c r="C64" s="2" t="s">
        <v>24</v>
      </c>
      <c r="D64" s="2" t="s">
        <v>18</v>
      </c>
      <c r="E64" s="2">
        <v>50343.19</v>
      </c>
      <c r="F64" s="2">
        <v>3845</v>
      </c>
      <c r="G64" s="2">
        <v>0.113</v>
      </c>
      <c r="H64" s="2">
        <v>9</v>
      </c>
      <c r="I64" s="2">
        <v>88.7</v>
      </c>
      <c r="J64" s="2">
        <v>5.15</v>
      </c>
      <c r="K64" s="2">
        <v>0</v>
      </c>
      <c r="L64" s="2">
        <v>3.3</v>
      </c>
      <c r="M64" s="2">
        <v>572011.19999999995</v>
      </c>
      <c r="N64" s="2">
        <v>101409.68</v>
      </c>
    </row>
    <row r="65" spans="1:14">
      <c r="A65" s="2" t="s">
        <v>37</v>
      </c>
      <c r="B65" s="3">
        <v>45748</v>
      </c>
      <c r="C65" s="2" t="s">
        <v>24</v>
      </c>
      <c r="D65" s="2" t="s">
        <v>18</v>
      </c>
      <c r="E65" s="2">
        <v>74954.47</v>
      </c>
      <c r="F65" s="2">
        <v>6620</v>
      </c>
      <c r="G65" s="2">
        <v>5.3999999999999999E-2</v>
      </c>
      <c r="H65" s="2">
        <v>17</v>
      </c>
      <c r="I65" s="2">
        <v>91.1</v>
      </c>
      <c r="J65" s="2">
        <v>1.1100000000000001</v>
      </c>
      <c r="K65" s="2">
        <v>0</v>
      </c>
      <c r="L65" s="2">
        <v>3.5</v>
      </c>
      <c r="M65" s="2">
        <v>761860.19</v>
      </c>
      <c r="N65" s="2">
        <v>133279.38</v>
      </c>
    </row>
    <row r="66" spans="1:14">
      <c r="A66" s="2" t="s">
        <v>38</v>
      </c>
      <c r="B66" s="3">
        <v>45658</v>
      </c>
      <c r="C66" s="2" t="s">
        <v>27</v>
      </c>
      <c r="D66" s="2" t="s">
        <v>18</v>
      </c>
      <c r="E66" s="2">
        <v>70040.31</v>
      </c>
      <c r="F66" s="2">
        <v>9175</v>
      </c>
      <c r="G66" s="2">
        <v>0.107</v>
      </c>
      <c r="H66" s="2">
        <v>23</v>
      </c>
      <c r="I66" s="2">
        <v>95.1</v>
      </c>
      <c r="J66" s="2">
        <v>6.08</v>
      </c>
      <c r="K66" s="2">
        <v>1</v>
      </c>
      <c r="L66" s="2">
        <v>3.4</v>
      </c>
      <c r="M66" s="2">
        <v>784502.68</v>
      </c>
      <c r="N66" s="2">
        <v>129519.72</v>
      </c>
    </row>
    <row r="67" spans="1:14">
      <c r="A67" s="2" t="s">
        <v>38</v>
      </c>
      <c r="B67" s="3">
        <v>45689</v>
      </c>
      <c r="C67" s="2" t="s">
        <v>27</v>
      </c>
      <c r="D67" s="2" t="s">
        <v>18</v>
      </c>
      <c r="E67" s="2">
        <v>51148.69</v>
      </c>
      <c r="F67" s="2">
        <v>7940</v>
      </c>
      <c r="G67" s="2">
        <v>0.156</v>
      </c>
      <c r="H67" s="2">
        <v>18</v>
      </c>
      <c r="I67" s="2">
        <v>93.3</v>
      </c>
      <c r="J67" s="2">
        <v>10.91</v>
      </c>
      <c r="K67" s="2">
        <v>0</v>
      </c>
      <c r="L67" s="2">
        <v>3.6</v>
      </c>
      <c r="M67" s="2">
        <v>717141.55</v>
      </c>
      <c r="N67" s="2">
        <v>134013.60999999999</v>
      </c>
    </row>
    <row r="68" spans="1:14">
      <c r="A68" s="2" t="s">
        <v>38</v>
      </c>
      <c r="B68" s="3">
        <v>45717</v>
      </c>
      <c r="C68" s="2" t="s">
        <v>27</v>
      </c>
      <c r="D68" s="2" t="s">
        <v>18</v>
      </c>
      <c r="E68" s="2">
        <v>79346.100000000006</v>
      </c>
      <c r="F68" s="2">
        <v>9628</v>
      </c>
      <c r="G68" s="2">
        <v>0.10199999999999999</v>
      </c>
      <c r="H68" s="2">
        <v>20</v>
      </c>
      <c r="I68" s="2">
        <v>99</v>
      </c>
      <c r="J68" s="2">
        <v>19.010000000000002</v>
      </c>
      <c r="K68" s="2">
        <v>1</v>
      </c>
      <c r="L68" s="2">
        <v>3.2</v>
      </c>
      <c r="M68" s="2">
        <v>685379.08</v>
      </c>
      <c r="N68" s="2">
        <v>106898.82</v>
      </c>
    </row>
    <row r="69" spans="1:14">
      <c r="A69" s="2" t="s">
        <v>38</v>
      </c>
      <c r="B69" s="3">
        <v>45748</v>
      </c>
      <c r="C69" s="2" t="s">
        <v>27</v>
      </c>
      <c r="D69" s="2" t="s">
        <v>18</v>
      </c>
      <c r="E69" s="2">
        <v>42018.400000000001</v>
      </c>
      <c r="F69" s="2">
        <v>8296</v>
      </c>
      <c r="G69" s="2">
        <v>0.115</v>
      </c>
      <c r="H69" s="2">
        <v>17</v>
      </c>
      <c r="I69" s="2">
        <v>91.8</v>
      </c>
      <c r="J69" s="2">
        <v>0.77</v>
      </c>
      <c r="K69" s="2">
        <v>0</v>
      </c>
      <c r="L69" s="2">
        <v>3.4</v>
      </c>
      <c r="M69" s="2">
        <v>740496.65</v>
      </c>
      <c r="N69" s="2">
        <v>128020.9</v>
      </c>
    </row>
    <row r="70" spans="1:14">
      <c r="A70" s="2" t="s">
        <v>39</v>
      </c>
      <c r="B70" s="3">
        <v>45658</v>
      </c>
      <c r="C70" s="2" t="s">
        <v>15</v>
      </c>
      <c r="D70" s="2" t="s">
        <v>18</v>
      </c>
      <c r="E70" s="2">
        <v>70937.240000000005</v>
      </c>
      <c r="F70" s="2">
        <v>3595</v>
      </c>
      <c r="G70" s="2">
        <v>0.14099999999999999</v>
      </c>
      <c r="H70" s="2">
        <v>11</v>
      </c>
      <c r="I70" s="2">
        <v>88.9</v>
      </c>
      <c r="J70" s="2">
        <v>2.83</v>
      </c>
      <c r="K70" s="2">
        <v>1</v>
      </c>
      <c r="L70" s="2">
        <v>3.3</v>
      </c>
      <c r="M70" s="2">
        <v>661927.14</v>
      </c>
      <c r="N70" s="2">
        <v>79218.570000000007</v>
      </c>
    </row>
    <row r="71" spans="1:14">
      <c r="A71" s="2" t="s">
        <v>39</v>
      </c>
      <c r="B71" s="3">
        <v>45689</v>
      </c>
      <c r="C71" s="2" t="s">
        <v>15</v>
      </c>
      <c r="D71" s="2" t="s">
        <v>18</v>
      </c>
      <c r="E71" s="2">
        <v>36813.449999999997</v>
      </c>
      <c r="F71" s="2">
        <v>2834</v>
      </c>
      <c r="G71" s="2">
        <v>0.191</v>
      </c>
      <c r="H71" s="2">
        <v>11</v>
      </c>
      <c r="I71" s="2">
        <v>81.8</v>
      </c>
      <c r="J71" s="2">
        <v>2.33</v>
      </c>
      <c r="K71" s="2">
        <v>0</v>
      </c>
      <c r="L71" s="2">
        <v>3.3</v>
      </c>
      <c r="M71" s="2">
        <v>479050.5</v>
      </c>
      <c r="N71" s="2">
        <v>53651.11</v>
      </c>
    </row>
    <row r="72" spans="1:14">
      <c r="A72" s="2" t="s">
        <v>39</v>
      </c>
      <c r="B72" s="3">
        <v>45717</v>
      </c>
      <c r="C72" s="2" t="s">
        <v>15</v>
      </c>
      <c r="D72" s="2" t="s">
        <v>18</v>
      </c>
      <c r="E72" s="2">
        <v>60571.82</v>
      </c>
      <c r="F72" s="2">
        <v>3193</v>
      </c>
      <c r="G72" s="2">
        <v>0.19700000000000001</v>
      </c>
      <c r="H72" s="2">
        <v>7</v>
      </c>
      <c r="I72" s="2">
        <v>99</v>
      </c>
      <c r="J72" s="2">
        <v>1.43</v>
      </c>
      <c r="K72" s="2">
        <v>0</v>
      </c>
      <c r="L72" s="2">
        <v>3.2</v>
      </c>
      <c r="M72" s="2">
        <v>605023.87</v>
      </c>
      <c r="N72" s="2">
        <v>98545.81</v>
      </c>
    </row>
    <row r="73" spans="1:14">
      <c r="A73" s="2" t="s">
        <v>39</v>
      </c>
      <c r="B73" s="3">
        <v>45748</v>
      </c>
      <c r="C73" s="2" t="s">
        <v>15</v>
      </c>
      <c r="D73" s="2" t="s">
        <v>18</v>
      </c>
      <c r="E73" s="2">
        <v>55081.16</v>
      </c>
      <c r="F73" s="2">
        <v>5485</v>
      </c>
      <c r="G73" s="2">
        <v>3.5999999999999997E-2</v>
      </c>
      <c r="H73" s="2">
        <v>12</v>
      </c>
      <c r="I73" s="2">
        <v>88</v>
      </c>
      <c r="J73" s="2"/>
      <c r="K73" s="2">
        <v>0</v>
      </c>
      <c r="L73" s="2">
        <v>3.5</v>
      </c>
      <c r="M73" s="2">
        <v>674774.09</v>
      </c>
      <c r="N73" s="2">
        <v>141917.59</v>
      </c>
    </row>
    <row r="74" spans="1:14">
      <c r="A74" s="2" t="s">
        <v>40</v>
      </c>
      <c r="B74" s="3">
        <v>45658</v>
      </c>
      <c r="C74" s="2" t="s">
        <v>15</v>
      </c>
      <c r="D74" s="2" t="s">
        <v>16</v>
      </c>
      <c r="E74" s="2">
        <v>46201.46</v>
      </c>
      <c r="F74" s="2">
        <v>5918</v>
      </c>
      <c r="G74" s="2">
        <v>0.27700000000000002</v>
      </c>
      <c r="H74" s="2">
        <v>13</v>
      </c>
      <c r="I74" s="2">
        <v>78.8</v>
      </c>
      <c r="J74" s="2">
        <v>4.91</v>
      </c>
      <c r="K74" s="2">
        <v>0</v>
      </c>
      <c r="L74" s="2">
        <v>4.5</v>
      </c>
      <c r="M74" s="2">
        <v>616069.41</v>
      </c>
      <c r="N74" s="2">
        <v>54453.99</v>
      </c>
    </row>
    <row r="75" spans="1:14">
      <c r="A75" s="2" t="s">
        <v>40</v>
      </c>
      <c r="B75" s="3">
        <v>45689</v>
      </c>
      <c r="C75" s="2" t="s">
        <v>15</v>
      </c>
      <c r="D75" s="2" t="s">
        <v>16</v>
      </c>
      <c r="E75" s="2">
        <v>53762.92</v>
      </c>
      <c r="F75" s="2">
        <v>6821</v>
      </c>
      <c r="G75" s="2">
        <v>6.6000000000000003E-2</v>
      </c>
      <c r="H75" s="2">
        <v>19</v>
      </c>
      <c r="I75" s="2">
        <v>94.6</v>
      </c>
      <c r="J75" s="2">
        <v>7.03</v>
      </c>
      <c r="K75" s="2">
        <v>0</v>
      </c>
      <c r="L75" s="2">
        <v>4.4000000000000004</v>
      </c>
      <c r="M75" s="2">
        <v>630829.93999999994</v>
      </c>
      <c r="N75" s="2">
        <v>117090.02</v>
      </c>
    </row>
    <row r="76" spans="1:14">
      <c r="A76" s="2" t="s">
        <v>40</v>
      </c>
      <c r="B76" s="3">
        <v>45717</v>
      </c>
      <c r="C76" s="2" t="s">
        <v>15</v>
      </c>
      <c r="D76" s="2" t="s">
        <v>16</v>
      </c>
      <c r="E76" s="2">
        <v>70144.78</v>
      </c>
      <c r="F76" s="2">
        <v>6806</v>
      </c>
      <c r="G76" s="2">
        <v>0.17799999999999999</v>
      </c>
      <c r="H76" s="2">
        <v>20</v>
      </c>
      <c r="I76" s="2">
        <v>93.1</v>
      </c>
      <c r="J76" s="2">
        <v>0.28000000000000003</v>
      </c>
      <c r="K76" s="2">
        <v>1</v>
      </c>
      <c r="L76" s="2">
        <v>4.3</v>
      </c>
      <c r="M76" s="2">
        <v>788087.68</v>
      </c>
      <c r="N76" s="2">
        <v>116803.42</v>
      </c>
    </row>
    <row r="77" spans="1:14">
      <c r="A77" s="2" t="s">
        <v>40</v>
      </c>
      <c r="B77" s="3">
        <v>45748</v>
      </c>
      <c r="C77" s="2" t="s">
        <v>15</v>
      </c>
      <c r="D77" s="2" t="s">
        <v>16</v>
      </c>
      <c r="E77" s="2">
        <v>58749.63</v>
      </c>
      <c r="F77" s="2">
        <v>8252</v>
      </c>
      <c r="G77" s="2">
        <v>0.20300000000000001</v>
      </c>
      <c r="H77" s="2">
        <v>20</v>
      </c>
      <c r="I77" s="2">
        <v>85.2</v>
      </c>
      <c r="J77" s="2">
        <v>3.61</v>
      </c>
      <c r="K77" s="2">
        <v>0</v>
      </c>
      <c r="L77" s="2">
        <v>4.5</v>
      </c>
      <c r="M77" s="2">
        <v>680840.36</v>
      </c>
      <c r="N77" s="2">
        <v>68007.679999999993</v>
      </c>
    </row>
    <row r="78" spans="1:14">
      <c r="A78" s="2" t="s">
        <v>41</v>
      </c>
      <c r="B78" s="3">
        <v>45658</v>
      </c>
      <c r="C78" s="2" t="s">
        <v>24</v>
      </c>
      <c r="D78" s="2" t="s">
        <v>18</v>
      </c>
      <c r="E78" s="2">
        <v>56973.18</v>
      </c>
      <c r="F78" s="2">
        <v>6662</v>
      </c>
      <c r="G78" s="2">
        <v>0.1</v>
      </c>
      <c r="H78" s="2">
        <v>15</v>
      </c>
      <c r="I78" s="2">
        <v>77.7</v>
      </c>
      <c r="J78" s="2">
        <v>7.52</v>
      </c>
      <c r="K78" s="2">
        <v>1</v>
      </c>
      <c r="L78" s="2">
        <v>3.2</v>
      </c>
      <c r="M78" s="2">
        <v>643657.47</v>
      </c>
      <c r="N78" s="2">
        <v>87022.45</v>
      </c>
    </row>
    <row r="79" spans="1:14">
      <c r="A79" s="2" t="s">
        <v>41</v>
      </c>
      <c r="B79" s="3">
        <v>45689</v>
      </c>
      <c r="C79" s="2" t="s">
        <v>24</v>
      </c>
      <c r="D79" s="2" t="s">
        <v>18</v>
      </c>
      <c r="E79" s="2">
        <v>54872.82</v>
      </c>
      <c r="F79" s="2">
        <v>5962</v>
      </c>
      <c r="G79" s="2">
        <v>6.4000000000000001E-2</v>
      </c>
      <c r="H79" s="2">
        <v>12</v>
      </c>
      <c r="I79" s="2">
        <v>85.4</v>
      </c>
      <c r="J79" s="2">
        <v>2.58</v>
      </c>
      <c r="K79" s="2">
        <v>0</v>
      </c>
      <c r="L79" s="2">
        <v>2.9</v>
      </c>
      <c r="M79" s="2">
        <v>691112.6</v>
      </c>
      <c r="N79" s="2">
        <v>109212.83</v>
      </c>
    </row>
    <row r="80" spans="1:14">
      <c r="A80" s="2" t="s">
        <v>41</v>
      </c>
      <c r="B80" s="3">
        <v>45717</v>
      </c>
      <c r="C80" s="2" t="s">
        <v>24</v>
      </c>
      <c r="D80" s="2" t="s">
        <v>18</v>
      </c>
      <c r="E80" s="2">
        <v>80562.81</v>
      </c>
      <c r="F80" s="2">
        <v>7470</v>
      </c>
      <c r="G80" s="2">
        <v>0.17199999999999999</v>
      </c>
      <c r="H80" s="2">
        <v>16</v>
      </c>
      <c r="I80" s="2">
        <v>83.5</v>
      </c>
      <c r="J80" s="2">
        <v>2.29</v>
      </c>
      <c r="K80" s="2">
        <v>0</v>
      </c>
      <c r="L80" s="2">
        <v>3.3</v>
      </c>
      <c r="M80" s="2">
        <v>776922.17</v>
      </c>
      <c r="N80" s="2">
        <v>150701.93</v>
      </c>
    </row>
    <row r="81" spans="1:14">
      <c r="A81" s="2" t="s">
        <v>41</v>
      </c>
      <c r="B81" s="3">
        <v>45748</v>
      </c>
      <c r="C81" s="2" t="s">
        <v>24</v>
      </c>
      <c r="D81" s="2" t="s">
        <v>18</v>
      </c>
      <c r="E81" s="2">
        <v>77999.899999999994</v>
      </c>
      <c r="F81" s="2">
        <v>5974</v>
      </c>
      <c r="G81" s="2">
        <v>0.252</v>
      </c>
      <c r="H81" s="2">
        <v>14</v>
      </c>
      <c r="I81" s="2">
        <v>81.3</v>
      </c>
      <c r="J81" s="2">
        <v>2.39</v>
      </c>
      <c r="K81" s="2">
        <v>0</v>
      </c>
      <c r="L81" s="2">
        <v>3.2</v>
      </c>
      <c r="M81" s="2">
        <v>636561.34</v>
      </c>
      <c r="N81" s="2">
        <v>93861.06</v>
      </c>
    </row>
    <row r="82" spans="1:14">
      <c r="A82" s="2" t="s">
        <v>42</v>
      </c>
      <c r="B82" s="3">
        <v>45658</v>
      </c>
      <c r="C82" s="2" t="s">
        <v>27</v>
      </c>
      <c r="D82" s="2" t="s">
        <v>28</v>
      </c>
      <c r="E82" s="2">
        <v>60881.01</v>
      </c>
      <c r="F82" s="2">
        <v>5410</v>
      </c>
      <c r="G82" s="2">
        <v>0.17899999999999999</v>
      </c>
      <c r="H82" s="2">
        <v>15</v>
      </c>
      <c r="I82" s="2">
        <v>83.9</v>
      </c>
      <c r="J82" s="2">
        <v>5.24</v>
      </c>
      <c r="K82" s="2">
        <v>0</v>
      </c>
      <c r="L82" s="2">
        <v>4.5999999999999996</v>
      </c>
      <c r="M82" s="2">
        <v>621369.57999999996</v>
      </c>
      <c r="N82" s="2">
        <v>85493.64</v>
      </c>
    </row>
    <row r="83" spans="1:14">
      <c r="A83" s="2" t="s">
        <v>42</v>
      </c>
      <c r="B83" s="3">
        <v>45689</v>
      </c>
      <c r="C83" s="2" t="s">
        <v>27</v>
      </c>
      <c r="D83" s="2" t="s">
        <v>28</v>
      </c>
      <c r="E83" s="2">
        <v>60628.38</v>
      </c>
      <c r="F83" s="2">
        <v>4451</v>
      </c>
      <c r="G83" s="2">
        <v>9.5000000000000001E-2</v>
      </c>
      <c r="H83" s="2">
        <v>10</v>
      </c>
      <c r="I83" s="2">
        <v>89.6</v>
      </c>
      <c r="J83" s="2">
        <v>3.17</v>
      </c>
      <c r="K83" s="2">
        <v>0</v>
      </c>
      <c r="L83" s="2">
        <v>4.5999999999999996</v>
      </c>
      <c r="M83" s="2">
        <v>682208.01</v>
      </c>
      <c r="N83" s="2">
        <v>110318.84</v>
      </c>
    </row>
    <row r="84" spans="1:14">
      <c r="A84" s="2" t="s">
        <v>42</v>
      </c>
      <c r="B84" s="3">
        <v>45717</v>
      </c>
      <c r="C84" s="2" t="s">
        <v>27</v>
      </c>
      <c r="D84" s="2" t="s">
        <v>28</v>
      </c>
      <c r="E84" s="2">
        <v>72731.14</v>
      </c>
      <c r="F84" s="2">
        <v>4644</v>
      </c>
      <c r="G84" s="2">
        <v>8.4000000000000005E-2</v>
      </c>
      <c r="H84" s="2">
        <v>15</v>
      </c>
      <c r="I84" s="2">
        <v>87.1</v>
      </c>
      <c r="J84" s="2">
        <v>2.66</v>
      </c>
      <c r="K84" s="2">
        <v>0</v>
      </c>
      <c r="L84" s="2">
        <v>4.5999999999999996</v>
      </c>
      <c r="M84" s="2">
        <v>727241.86</v>
      </c>
      <c r="N84" s="2">
        <v>155810.29999999999</v>
      </c>
    </row>
    <row r="85" spans="1:14">
      <c r="A85" s="2" t="s">
        <v>42</v>
      </c>
      <c r="B85" s="3">
        <v>45748</v>
      </c>
      <c r="C85" s="2" t="s">
        <v>27</v>
      </c>
      <c r="D85" s="2" t="s">
        <v>28</v>
      </c>
      <c r="E85" s="2">
        <v>36475.71</v>
      </c>
      <c r="F85" s="2">
        <v>3559</v>
      </c>
      <c r="G85" s="2">
        <v>0.03</v>
      </c>
      <c r="H85" s="2">
        <v>8</v>
      </c>
      <c r="I85" s="2">
        <v>83.6</v>
      </c>
      <c r="J85" s="2">
        <v>1.41</v>
      </c>
      <c r="K85" s="2">
        <v>0</v>
      </c>
      <c r="L85" s="2">
        <v>4.2</v>
      </c>
      <c r="M85" s="2">
        <v>569100.78</v>
      </c>
      <c r="N85" s="2">
        <v>104808.78</v>
      </c>
    </row>
    <row r="86" spans="1:14">
      <c r="A86" s="2" t="s">
        <v>43</v>
      </c>
      <c r="B86" s="3">
        <v>45658</v>
      </c>
      <c r="C86" s="2" t="s">
        <v>27</v>
      </c>
      <c r="D86" s="2" t="s">
        <v>18</v>
      </c>
      <c r="E86" s="2">
        <v>55388.11</v>
      </c>
      <c r="F86" s="2">
        <v>3091</v>
      </c>
      <c r="G86" s="2">
        <v>0.108</v>
      </c>
      <c r="H86" s="2">
        <v>7</v>
      </c>
      <c r="I86" s="2">
        <v>85.4</v>
      </c>
      <c r="J86" s="2">
        <v>7.34</v>
      </c>
      <c r="K86" s="2">
        <v>0</v>
      </c>
      <c r="L86" s="2">
        <v>4.9000000000000004</v>
      </c>
      <c r="M86" s="2">
        <v>574436.29</v>
      </c>
      <c r="N86" s="2">
        <v>80271.990000000005</v>
      </c>
    </row>
    <row r="87" spans="1:14">
      <c r="A87" s="2" t="s">
        <v>43</v>
      </c>
      <c r="B87" s="3">
        <v>45689</v>
      </c>
      <c r="C87" s="2" t="s">
        <v>27</v>
      </c>
      <c r="D87" s="2" t="s">
        <v>18</v>
      </c>
      <c r="E87" s="2">
        <v>88443.77</v>
      </c>
      <c r="F87" s="2">
        <v>4004</v>
      </c>
      <c r="G87" s="2">
        <v>0.20599999999999999</v>
      </c>
      <c r="H87" s="2">
        <v>11</v>
      </c>
      <c r="I87" s="2">
        <v>91.9</v>
      </c>
      <c r="J87" s="2">
        <v>5.95</v>
      </c>
      <c r="K87" s="2">
        <v>0</v>
      </c>
      <c r="L87" s="2"/>
      <c r="M87" s="2">
        <v>611766.72</v>
      </c>
      <c r="N87" s="2">
        <v>88275.61</v>
      </c>
    </row>
    <row r="88" spans="1:14">
      <c r="A88" s="2" t="s">
        <v>43</v>
      </c>
      <c r="B88" s="3">
        <v>45717</v>
      </c>
      <c r="C88" s="2" t="s">
        <v>27</v>
      </c>
      <c r="D88" s="2" t="s">
        <v>18</v>
      </c>
      <c r="E88" s="2">
        <v>78231.91</v>
      </c>
      <c r="F88" s="2">
        <v>3788</v>
      </c>
      <c r="G88" s="2">
        <v>5.8999999999999997E-2</v>
      </c>
      <c r="H88" s="2">
        <v>11</v>
      </c>
      <c r="I88" s="2">
        <v>88.5</v>
      </c>
      <c r="J88" s="2">
        <v>15.51</v>
      </c>
      <c r="K88" s="2">
        <v>0</v>
      </c>
      <c r="L88" s="2">
        <v>4.3</v>
      </c>
      <c r="M88" s="2">
        <v>614596.31999999995</v>
      </c>
      <c r="N88" s="2">
        <v>131199.41</v>
      </c>
    </row>
    <row r="89" spans="1:14">
      <c r="A89" s="2" t="s">
        <v>43</v>
      </c>
      <c r="B89" s="3">
        <v>45748</v>
      </c>
      <c r="C89" s="2" t="s">
        <v>27</v>
      </c>
      <c r="D89" s="2" t="s">
        <v>18</v>
      </c>
      <c r="E89" s="2">
        <v>18996.32</v>
      </c>
      <c r="F89" s="2">
        <v>1260</v>
      </c>
      <c r="G89" s="2">
        <v>0.14499999999999999</v>
      </c>
      <c r="H89" s="2">
        <v>9</v>
      </c>
      <c r="I89" s="2">
        <v>86.4</v>
      </c>
      <c r="J89" s="2">
        <v>4.3099999999999996</v>
      </c>
      <c r="K89" s="2">
        <v>0</v>
      </c>
      <c r="L89" s="2">
        <v>4.5999999999999996</v>
      </c>
      <c r="M89" s="2">
        <v>450711.92</v>
      </c>
      <c r="N89" s="2">
        <v>90043.76</v>
      </c>
    </row>
    <row r="90" spans="1:14">
      <c r="A90" s="2" t="s">
        <v>44</v>
      </c>
      <c r="B90" s="3">
        <v>45658</v>
      </c>
      <c r="C90" s="2" t="s">
        <v>24</v>
      </c>
      <c r="D90" s="2" t="s">
        <v>28</v>
      </c>
      <c r="E90" s="2">
        <v>50517.94</v>
      </c>
      <c r="F90" s="2">
        <v>7024</v>
      </c>
      <c r="G90" s="2">
        <v>2.9000000000000001E-2</v>
      </c>
      <c r="H90" s="2">
        <v>18</v>
      </c>
      <c r="I90" s="2">
        <v>79.2</v>
      </c>
      <c r="J90" s="2">
        <v>6.61</v>
      </c>
      <c r="K90" s="2">
        <v>1</v>
      </c>
      <c r="L90" s="2">
        <v>4.0999999999999996</v>
      </c>
      <c r="M90" s="2">
        <v>711213.46</v>
      </c>
      <c r="N90" s="2">
        <v>105863.26</v>
      </c>
    </row>
    <row r="91" spans="1:14">
      <c r="A91" s="2" t="s">
        <v>44</v>
      </c>
      <c r="B91" s="3">
        <v>45689</v>
      </c>
      <c r="C91" s="2" t="s">
        <v>24</v>
      </c>
      <c r="D91" s="2" t="s">
        <v>28</v>
      </c>
      <c r="E91" s="2">
        <v>141540.29</v>
      </c>
      <c r="F91" s="2">
        <v>5400</v>
      </c>
      <c r="G91" s="2">
        <v>1.2999999999999999E-2</v>
      </c>
      <c r="H91" s="2">
        <v>12</v>
      </c>
      <c r="I91" s="2">
        <v>87</v>
      </c>
      <c r="J91" s="2">
        <v>4.26</v>
      </c>
      <c r="K91" s="2">
        <v>0</v>
      </c>
      <c r="L91" s="2">
        <v>4.5</v>
      </c>
      <c r="M91" s="2">
        <v>627171.9</v>
      </c>
      <c r="N91" s="2">
        <v>105772.75</v>
      </c>
    </row>
    <row r="92" spans="1:14">
      <c r="A92" s="2" t="s">
        <v>44</v>
      </c>
      <c r="B92" s="3">
        <v>45717</v>
      </c>
      <c r="C92" s="2" t="s">
        <v>24</v>
      </c>
      <c r="D92" s="2" t="s">
        <v>28</v>
      </c>
      <c r="E92" s="2">
        <v>82116.19</v>
      </c>
      <c r="F92" s="2">
        <v>5988</v>
      </c>
      <c r="G92" s="2">
        <v>0.04</v>
      </c>
      <c r="H92" s="2">
        <v>17</v>
      </c>
      <c r="I92" s="2">
        <v>91.8</v>
      </c>
      <c r="J92" s="2">
        <v>5.75</v>
      </c>
      <c r="K92" s="2">
        <v>0</v>
      </c>
      <c r="L92" s="2">
        <v>4.7</v>
      </c>
      <c r="M92" s="2">
        <v>739852.58</v>
      </c>
      <c r="N92" s="2">
        <v>129386.43</v>
      </c>
    </row>
    <row r="93" spans="1:14">
      <c r="A93" s="2" t="s">
        <v>44</v>
      </c>
      <c r="B93" s="3">
        <v>45748</v>
      </c>
      <c r="C93" s="2" t="s">
        <v>24</v>
      </c>
      <c r="D93" s="2" t="s">
        <v>28</v>
      </c>
      <c r="E93" s="2">
        <v>31207.51</v>
      </c>
      <c r="F93" s="2">
        <v>3701</v>
      </c>
      <c r="G93" s="2">
        <v>4.2999999999999997E-2</v>
      </c>
      <c r="H93" s="2">
        <v>11</v>
      </c>
      <c r="I93" s="2">
        <v>84.7</v>
      </c>
      <c r="J93" s="2">
        <v>0.33</v>
      </c>
      <c r="K93" s="2">
        <v>0</v>
      </c>
      <c r="L93" s="2">
        <v>4.3</v>
      </c>
      <c r="M93" s="2">
        <v>586307.22</v>
      </c>
      <c r="N93" s="2">
        <v>73927.850000000006</v>
      </c>
    </row>
    <row r="94" spans="1:14">
      <c r="A94" s="2" t="s">
        <v>45</v>
      </c>
      <c r="B94" s="3">
        <v>45658</v>
      </c>
      <c r="C94" s="2" t="s">
        <v>27</v>
      </c>
      <c r="D94" s="2" t="s">
        <v>16</v>
      </c>
      <c r="E94" s="2">
        <v>38966.589999999997</v>
      </c>
      <c r="F94" s="2">
        <v>4509</v>
      </c>
      <c r="G94" s="2">
        <v>0.19400000000000001</v>
      </c>
      <c r="H94" s="2">
        <v>14</v>
      </c>
      <c r="I94" s="2">
        <v>91.1</v>
      </c>
      <c r="J94" s="2">
        <v>2.92</v>
      </c>
      <c r="K94" s="2">
        <v>0</v>
      </c>
      <c r="L94" s="2">
        <v>4.5999999999999996</v>
      </c>
      <c r="M94" s="2">
        <v>585937.48</v>
      </c>
      <c r="N94" s="2">
        <v>82624.2</v>
      </c>
    </row>
    <row r="95" spans="1:14">
      <c r="A95" s="2" t="s">
        <v>45</v>
      </c>
      <c r="B95" s="3">
        <v>45689</v>
      </c>
      <c r="C95" s="2" t="s">
        <v>27</v>
      </c>
      <c r="D95" s="2" t="s">
        <v>16</v>
      </c>
      <c r="E95" s="2">
        <v>67439.3</v>
      </c>
      <c r="F95" s="2">
        <v>6477</v>
      </c>
      <c r="G95" s="2">
        <v>0</v>
      </c>
      <c r="H95" s="2">
        <v>16</v>
      </c>
      <c r="I95" s="2">
        <v>90.9</v>
      </c>
      <c r="J95" s="2">
        <v>1.64</v>
      </c>
      <c r="K95" s="2">
        <v>0</v>
      </c>
      <c r="L95" s="2">
        <v>4.5</v>
      </c>
      <c r="M95" s="2">
        <v>753473.55</v>
      </c>
      <c r="N95" s="2">
        <v>151527.22</v>
      </c>
    </row>
    <row r="96" spans="1:14">
      <c r="A96" s="2" t="s">
        <v>45</v>
      </c>
      <c r="B96" s="3">
        <v>45717</v>
      </c>
      <c r="C96" s="2" t="s">
        <v>27</v>
      </c>
      <c r="D96" s="2" t="s">
        <v>16</v>
      </c>
      <c r="E96" s="2">
        <v>86421.88</v>
      </c>
      <c r="F96" s="2">
        <v>7970</v>
      </c>
      <c r="G96" s="2">
        <v>7.2999999999999995E-2</v>
      </c>
      <c r="H96" s="2">
        <v>17</v>
      </c>
      <c r="I96" s="2">
        <v>91.3</v>
      </c>
      <c r="J96" s="2">
        <v>0.8</v>
      </c>
      <c r="K96" s="2">
        <v>0</v>
      </c>
      <c r="L96" s="2">
        <v>5</v>
      </c>
      <c r="M96" s="2">
        <v>838250.32</v>
      </c>
      <c r="N96" s="2">
        <v>122939.34</v>
      </c>
    </row>
    <row r="97" spans="1:14">
      <c r="A97" s="2" t="s">
        <v>45</v>
      </c>
      <c r="B97" s="3">
        <v>45748</v>
      </c>
      <c r="C97" s="2" t="s">
        <v>27</v>
      </c>
      <c r="D97" s="2" t="s">
        <v>16</v>
      </c>
      <c r="E97" s="2">
        <v>9534.65</v>
      </c>
      <c r="F97" s="2">
        <v>6057</v>
      </c>
      <c r="G97" s="2">
        <v>7.3999999999999996E-2</v>
      </c>
      <c r="H97" s="2">
        <v>15</v>
      </c>
      <c r="I97" s="2">
        <v>94.1</v>
      </c>
      <c r="J97" s="2">
        <v>5.79</v>
      </c>
      <c r="K97" s="2">
        <v>0</v>
      </c>
      <c r="L97" s="2">
        <v>4.5</v>
      </c>
      <c r="M97" s="2">
        <v>607898.12</v>
      </c>
      <c r="N97" s="2">
        <v>135404.85</v>
      </c>
    </row>
    <row r="98" spans="1:14">
      <c r="A98" s="2" t="s">
        <v>46</v>
      </c>
      <c r="B98" s="3">
        <v>45658</v>
      </c>
      <c r="C98" s="2" t="s">
        <v>27</v>
      </c>
      <c r="D98" s="2" t="s">
        <v>28</v>
      </c>
      <c r="E98" s="2">
        <v>61132.07</v>
      </c>
      <c r="F98" s="2">
        <v>6394</v>
      </c>
      <c r="G98" s="2">
        <v>0.16300000000000001</v>
      </c>
      <c r="H98" s="2">
        <v>19</v>
      </c>
      <c r="I98" s="2">
        <v>91</v>
      </c>
      <c r="J98" s="2">
        <v>19.600000000000001</v>
      </c>
      <c r="K98" s="2">
        <v>0</v>
      </c>
      <c r="L98" s="2">
        <v>4.4000000000000004</v>
      </c>
      <c r="M98" s="2">
        <v>691113.62</v>
      </c>
      <c r="N98" s="2">
        <v>135145.44</v>
      </c>
    </row>
    <row r="99" spans="1:14">
      <c r="A99" s="2" t="s">
        <v>46</v>
      </c>
      <c r="B99" s="3">
        <v>45689</v>
      </c>
      <c r="C99" s="2" t="s">
        <v>27</v>
      </c>
      <c r="D99" s="2" t="s">
        <v>28</v>
      </c>
      <c r="E99" s="2">
        <v>78839.39</v>
      </c>
      <c r="F99" s="2">
        <v>5150</v>
      </c>
      <c r="G99" s="2">
        <v>0.17100000000000001</v>
      </c>
      <c r="H99" s="2">
        <v>13</v>
      </c>
      <c r="I99" s="2">
        <v>85.8</v>
      </c>
      <c r="J99" s="2">
        <v>7.57</v>
      </c>
      <c r="K99" s="2">
        <v>0</v>
      </c>
      <c r="L99" s="2">
        <v>4.3</v>
      </c>
      <c r="M99" s="2">
        <v>735509.4</v>
      </c>
      <c r="N99" s="2">
        <v>83895.96</v>
      </c>
    </row>
    <row r="100" spans="1:14">
      <c r="A100" s="2" t="s">
        <v>46</v>
      </c>
      <c r="B100" s="3">
        <v>45717</v>
      </c>
      <c r="C100" s="2" t="s">
        <v>27</v>
      </c>
      <c r="D100" s="2" t="s">
        <v>28</v>
      </c>
      <c r="E100" s="2">
        <v>38752.800000000003</v>
      </c>
      <c r="F100" s="2">
        <v>4712</v>
      </c>
      <c r="G100" s="2">
        <v>7.4999999999999997E-2</v>
      </c>
      <c r="H100" s="2">
        <v>15</v>
      </c>
      <c r="I100" s="2">
        <v>89.7</v>
      </c>
      <c r="J100" s="2"/>
      <c r="K100" s="2">
        <v>0</v>
      </c>
      <c r="L100" s="2">
        <v>4.3</v>
      </c>
      <c r="M100" s="2">
        <v>605775.32999999996</v>
      </c>
      <c r="N100" s="2">
        <v>107194.6</v>
      </c>
    </row>
    <row r="101" spans="1:14">
      <c r="A101" s="2" t="s">
        <v>46</v>
      </c>
      <c r="B101" s="3">
        <v>45748</v>
      </c>
      <c r="C101" s="2" t="s">
        <v>27</v>
      </c>
      <c r="D101" s="2" t="s">
        <v>28</v>
      </c>
      <c r="E101" s="2">
        <v>55101.1</v>
      </c>
      <c r="F101" s="2">
        <v>5281</v>
      </c>
      <c r="G101" s="2">
        <v>0.189</v>
      </c>
      <c r="H101" s="2">
        <v>11</v>
      </c>
      <c r="I101" s="2">
        <v>91</v>
      </c>
      <c r="J101" s="2">
        <v>2.7</v>
      </c>
      <c r="K101" s="2">
        <v>0</v>
      </c>
      <c r="L101" s="2">
        <v>4.4000000000000004</v>
      </c>
      <c r="M101" s="2">
        <v>675177.68</v>
      </c>
      <c r="N101" s="2">
        <v>105628.68</v>
      </c>
    </row>
    <row r="102" spans="1:14">
      <c r="A102" s="2" t="s">
        <v>47</v>
      </c>
      <c r="B102" s="3">
        <v>45658</v>
      </c>
      <c r="C102" s="2" t="s">
        <v>15</v>
      </c>
      <c r="D102" s="2" t="s">
        <v>28</v>
      </c>
      <c r="E102" s="2">
        <v>53084.76</v>
      </c>
      <c r="F102" s="2">
        <v>3642</v>
      </c>
      <c r="G102" s="2">
        <v>0.15</v>
      </c>
      <c r="H102" s="2">
        <v>12</v>
      </c>
      <c r="I102" s="2">
        <v>91.4</v>
      </c>
      <c r="J102" s="2">
        <v>0.2</v>
      </c>
      <c r="K102" s="2">
        <v>0</v>
      </c>
      <c r="L102" s="2">
        <v>4.4000000000000004</v>
      </c>
      <c r="M102" s="2">
        <v>635181.35</v>
      </c>
      <c r="N102" s="2">
        <v>83341.25</v>
      </c>
    </row>
    <row r="103" spans="1:14">
      <c r="A103" s="2" t="s">
        <v>47</v>
      </c>
      <c r="B103" s="3">
        <v>45689</v>
      </c>
      <c r="C103" s="2" t="s">
        <v>15</v>
      </c>
      <c r="D103" s="2" t="s">
        <v>28</v>
      </c>
      <c r="E103" s="2">
        <v>63101.59</v>
      </c>
      <c r="F103" s="2">
        <v>4373</v>
      </c>
      <c r="G103" s="2">
        <v>0.17299999999999999</v>
      </c>
      <c r="H103" s="2">
        <v>14</v>
      </c>
      <c r="I103" s="2">
        <v>90.4</v>
      </c>
      <c r="J103" s="2">
        <v>7.87</v>
      </c>
      <c r="K103" s="2">
        <v>0</v>
      </c>
      <c r="L103" s="2">
        <v>4.7</v>
      </c>
      <c r="M103" s="2">
        <v>586626.93999999994</v>
      </c>
      <c r="N103" s="2">
        <v>86498.55</v>
      </c>
    </row>
    <row r="104" spans="1:14">
      <c r="A104" s="2" t="s">
        <v>47</v>
      </c>
      <c r="B104" s="3">
        <v>45717</v>
      </c>
      <c r="C104" s="2" t="s">
        <v>15</v>
      </c>
      <c r="D104" s="2" t="s">
        <v>28</v>
      </c>
      <c r="E104" s="2">
        <v>90084.4</v>
      </c>
      <c r="F104" s="2">
        <v>6832</v>
      </c>
      <c r="G104" s="2">
        <v>0.185</v>
      </c>
      <c r="H104" s="2">
        <v>14</v>
      </c>
      <c r="I104" s="2">
        <v>80.5</v>
      </c>
      <c r="J104" s="2">
        <v>0.77</v>
      </c>
      <c r="K104" s="2">
        <v>1</v>
      </c>
      <c r="L104" s="2">
        <v>4.4000000000000004</v>
      </c>
      <c r="M104" s="2">
        <v>740102.64</v>
      </c>
      <c r="N104" s="2">
        <v>114299.07</v>
      </c>
    </row>
    <row r="105" spans="1:14">
      <c r="A105" s="2" t="s">
        <v>47</v>
      </c>
      <c r="B105" s="3">
        <v>45748</v>
      </c>
      <c r="C105" s="2" t="s">
        <v>15</v>
      </c>
      <c r="D105" s="2" t="s">
        <v>28</v>
      </c>
      <c r="E105" s="2">
        <v>32266.639999999999</v>
      </c>
      <c r="F105" s="2">
        <v>2414</v>
      </c>
      <c r="G105" s="2">
        <v>0.08</v>
      </c>
      <c r="H105" s="2">
        <v>7</v>
      </c>
      <c r="I105" s="2">
        <v>92.1</v>
      </c>
      <c r="J105" s="2">
        <v>1.48</v>
      </c>
      <c r="K105" s="2">
        <v>0</v>
      </c>
      <c r="L105" s="2">
        <v>5</v>
      </c>
      <c r="M105" s="2">
        <v>625514.04</v>
      </c>
      <c r="N105" s="2">
        <v>120685.08</v>
      </c>
    </row>
    <row r="106" spans="1:14">
      <c r="A106" s="2" t="s">
        <v>48</v>
      </c>
      <c r="B106" s="3">
        <v>45658</v>
      </c>
      <c r="C106" s="2" t="s">
        <v>27</v>
      </c>
      <c r="D106" s="2" t="s">
        <v>18</v>
      </c>
      <c r="E106" s="2">
        <v>57919.07</v>
      </c>
      <c r="F106" s="2">
        <v>7374</v>
      </c>
      <c r="G106" s="2">
        <v>0.10299999999999999</v>
      </c>
      <c r="H106" s="2">
        <v>21</v>
      </c>
      <c r="I106" s="2">
        <v>82.3</v>
      </c>
      <c r="J106" s="2">
        <v>2.87</v>
      </c>
      <c r="K106" s="2">
        <v>0</v>
      </c>
      <c r="L106" s="2">
        <v>2.9</v>
      </c>
      <c r="M106" s="2">
        <v>727227.2</v>
      </c>
      <c r="N106" s="2">
        <v>121292.01</v>
      </c>
    </row>
    <row r="107" spans="1:14">
      <c r="A107" s="2" t="s">
        <v>48</v>
      </c>
      <c r="B107" s="3">
        <v>45689</v>
      </c>
      <c r="C107" s="2" t="s">
        <v>27</v>
      </c>
      <c r="D107" s="2" t="s">
        <v>18</v>
      </c>
      <c r="E107" s="2">
        <v>74679.350000000006</v>
      </c>
      <c r="F107" s="2">
        <v>8739</v>
      </c>
      <c r="G107" s="2">
        <v>5.6000000000000001E-2</v>
      </c>
      <c r="H107" s="2">
        <v>21</v>
      </c>
      <c r="I107" s="2">
        <v>91.8</v>
      </c>
      <c r="J107" s="2">
        <v>2.83</v>
      </c>
      <c r="K107" s="2">
        <v>0</v>
      </c>
      <c r="L107" s="2">
        <v>3</v>
      </c>
      <c r="M107" s="2">
        <v>783797.89</v>
      </c>
      <c r="N107" s="2">
        <v>157620.70000000001</v>
      </c>
    </row>
    <row r="108" spans="1:14">
      <c r="A108" s="2" t="s">
        <v>48</v>
      </c>
      <c r="B108" s="3">
        <v>45717</v>
      </c>
      <c r="C108" s="2" t="s">
        <v>27</v>
      </c>
      <c r="D108" s="2" t="s">
        <v>18</v>
      </c>
      <c r="E108" s="2">
        <v>64294.23</v>
      </c>
      <c r="F108" s="2">
        <v>6992</v>
      </c>
      <c r="G108" s="2">
        <v>0.13300000000000001</v>
      </c>
      <c r="H108" s="2">
        <v>14</v>
      </c>
      <c r="I108" s="2">
        <v>94.1</v>
      </c>
      <c r="J108" s="2">
        <v>0.25</v>
      </c>
      <c r="K108" s="2">
        <v>0</v>
      </c>
      <c r="L108" s="2">
        <v>3</v>
      </c>
      <c r="M108" s="2">
        <v>795153.84</v>
      </c>
      <c r="N108" s="2">
        <v>143194.21</v>
      </c>
    </row>
    <row r="109" spans="1:14">
      <c r="A109" s="2" t="s">
        <v>48</v>
      </c>
      <c r="B109" s="3">
        <v>45748</v>
      </c>
      <c r="C109" s="2" t="s">
        <v>27</v>
      </c>
      <c r="D109" s="2" t="s">
        <v>18</v>
      </c>
      <c r="E109" s="2">
        <v>31042.03</v>
      </c>
      <c r="F109" s="2">
        <v>7107</v>
      </c>
      <c r="G109" s="2">
        <v>5.0999999999999997E-2</v>
      </c>
      <c r="H109" s="2">
        <v>15</v>
      </c>
      <c r="I109" s="2">
        <v>87</v>
      </c>
      <c r="J109" s="2">
        <v>13.33</v>
      </c>
      <c r="K109" s="2">
        <v>0</v>
      </c>
      <c r="L109" s="2">
        <v>3.2</v>
      </c>
      <c r="M109" s="2">
        <v>665594.93999999994</v>
      </c>
      <c r="N109" s="2">
        <v>127597.34</v>
      </c>
    </row>
    <row r="110" spans="1:14">
      <c r="A110" s="2" t="s">
        <v>49</v>
      </c>
      <c r="B110" s="3">
        <v>45658</v>
      </c>
      <c r="C110" s="2" t="s">
        <v>15</v>
      </c>
      <c r="D110" s="2" t="s">
        <v>28</v>
      </c>
      <c r="E110" s="2">
        <v>75265.02</v>
      </c>
      <c r="F110" s="2">
        <v>6975</v>
      </c>
      <c r="G110" s="2">
        <v>0.157</v>
      </c>
      <c r="H110" s="2">
        <v>20</v>
      </c>
      <c r="I110" s="2">
        <v>73.8</v>
      </c>
      <c r="J110" s="2">
        <v>6.35</v>
      </c>
      <c r="K110" s="2">
        <v>1</v>
      </c>
      <c r="L110" s="2">
        <v>3.8</v>
      </c>
      <c r="M110" s="2">
        <v>709478.39</v>
      </c>
      <c r="N110" s="2">
        <v>71294.27</v>
      </c>
    </row>
    <row r="111" spans="1:14">
      <c r="A111" s="2" t="s">
        <v>49</v>
      </c>
      <c r="B111" s="3">
        <v>45689</v>
      </c>
      <c r="C111" s="2" t="s">
        <v>15</v>
      </c>
      <c r="D111" s="2" t="s">
        <v>28</v>
      </c>
      <c r="E111" s="2">
        <v>69411.7</v>
      </c>
      <c r="F111" s="2">
        <v>5493</v>
      </c>
      <c r="G111" s="2">
        <v>0.29199999999999998</v>
      </c>
      <c r="H111" s="2">
        <v>13</v>
      </c>
      <c r="I111" s="2">
        <v>86.5</v>
      </c>
      <c r="J111" s="2">
        <v>6.69</v>
      </c>
      <c r="K111" s="2">
        <v>0</v>
      </c>
      <c r="L111" s="2">
        <v>3.8</v>
      </c>
      <c r="M111" s="2">
        <v>664162.49</v>
      </c>
      <c r="N111" s="2">
        <v>98291.06</v>
      </c>
    </row>
    <row r="112" spans="1:14">
      <c r="A112" s="2" t="s">
        <v>49</v>
      </c>
      <c r="B112" s="3">
        <v>45717</v>
      </c>
      <c r="C112" s="2" t="s">
        <v>15</v>
      </c>
      <c r="D112" s="2" t="s">
        <v>28</v>
      </c>
      <c r="E112" s="2">
        <v>51056.15</v>
      </c>
      <c r="F112" s="2">
        <v>5686</v>
      </c>
      <c r="G112" s="2">
        <v>8.8999999999999996E-2</v>
      </c>
      <c r="H112" s="2">
        <v>13</v>
      </c>
      <c r="I112" s="2">
        <v>89.9</v>
      </c>
      <c r="J112" s="2">
        <v>1.28</v>
      </c>
      <c r="K112" s="2">
        <v>0</v>
      </c>
      <c r="L112" s="2">
        <v>4.2</v>
      </c>
      <c r="M112" s="2">
        <v>633494.21</v>
      </c>
      <c r="N112" s="2">
        <v>105739.47</v>
      </c>
    </row>
    <row r="113" spans="1:14">
      <c r="A113" s="2" t="s">
        <v>49</v>
      </c>
      <c r="B113" s="3">
        <v>45748</v>
      </c>
      <c r="C113" s="2" t="s">
        <v>15</v>
      </c>
      <c r="D113" s="2" t="s">
        <v>28</v>
      </c>
      <c r="E113" s="2">
        <v>52758.01</v>
      </c>
      <c r="F113" s="2">
        <v>4063</v>
      </c>
      <c r="G113" s="2">
        <v>5.7000000000000002E-2</v>
      </c>
      <c r="H113" s="2">
        <v>12</v>
      </c>
      <c r="I113" s="2">
        <v>91.7</v>
      </c>
      <c r="J113" s="2">
        <v>0.92</v>
      </c>
      <c r="K113" s="2">
        <v>0</v>
      </c>
      <c r="L113" s="2">
        <v>3.5</v>
      </c>
      <c r="M113" s="2">
        <v>713611.16</v>
      </c>
      <c r="N113" s="2">
        <v>129717.18</v>
      </c>
    </row>
    <row r="114" spans="1:14">
      <c r="A114" s="2" t="s">
        <v>50</v>
      </c>
      <c r="B114" s="3">
        <v>45658</v>
      </c>
      <c r="C114" s="2" t="s">
        <v>27</v>
      </c>
      <c r="D114" s="2" t="s">
        <v>28</v>
      </c>
      <c r="E114" s="2">
        <v>61426.04</v>
      </c>
      <c r="F114" s="2">
        <v>8966</v>
      </c>
      <c r="G114" s="2">
        <v>0.17299999999999999</v>
      </c>
      <c r="H114" s="2">
        <v>22</v>
      </c>
      <c r="I114" s="2">
        <v>76.400000000000006</v>
      </c>
      <c r="J114" s="2">
        <v>1.05</v>
      </c>
      <c r="K114" s="2">
        <v>0</v>
      </c>
      <c r="L114" s="2">
        <v>3.1</v>
      </c>
      <c r="M114" s="2">
        <v>778397.97</v>
      </c>
      <c r="N114" s="2">
        <v>120044.41</v>
      </c>
    </row>
    <row r="115" spans="1:14">
      <c r="A115" s="2" t="s">
        <v>50</v>
      </c>
      <c r="B115" s="3">
        <v>45689</v>
      </c>
      <c r="C115" s="2" t="s">
        <v>27</v>
      </c>
      <c r="D115" s="2" t="s">
        <v>28</v>
      </c>
      <c r="E115" s="2">
        <v>80176.34</v>
      </c>
      <c r="F115" s="2">
        <v>9489</v>
      </c>
      <c r="G115" s="2">
        <v>0.14199999999999999</v>
      </c>
      <c r="H115" s="2">
        <v>22</v>
      </c>
      <c r="I115" s="2">
        <v>94.3</v>
      </c>
      <c r="J115" s="2">
        <v>2.67</v>
      </c>
      <c r="K115" s="2">
        <v>0</v>
      </c>
      <c r="L115" s="2">
        <v>3.5</v>
      </c>
      <c r="M115" s="2">
        <v>873380.02</v>
      </c>
      <c r="N115" s="2">
        <v>149734.76</v>
      </c>
    </row>
    <row r="116" spans="1:14">
      <c r="A116" s="2" t="s">
        <v>50</v>
      </c>
      <c r="B116" s="3">
        <v>45717</v>
      </c>
      <c r="C116" s="2" t="s">
        <v>27</v>
      </c>
      <c r="D116" s="2" t="s">
        <v>28</v>
      </c>
      <c r="E116" s="2">
        <v>33605.18</v>
      </c>
      <c r="F116" s="2">
        <v>9225</v>
      </c>
      <c r="G116" s="2">
        <v>0.159</v>
      </c>
      <c r="H116" s="2">
        <v>23</v>
      </c>
      <c r="I116" s="2">
        <v>88.4</v>
      </c>
      <c r="J116" s="2">
        <v>5.91</v>
      </c>
      <c r="K116" s="2">
        <v>0</v>
      </c>
      <c r="L116" s="2">
        <v>2.8</v>
      </c>
      <c r="M116" s="2">
        <v>697287.9</v>
      </c>
      <c r="N116" s="2">
        <v>128208.33</v>
      </c>
    </row>
    <row r="117" spans="1:14">
      <c r="A117" s="2" t="s">
        <v>50</v>
      </c>
      <c r="B117" s="3">
        <v>45748</v>
      </c>
      <c r="C117" s="2" t="s">
        <v>27</v>
      </c>
      <c r="D117" s="2" t="s">
        <v>28</v>
      </c>
      <c r="E117" s="2">
        <v>25990.54</v>
      </c>
      <c r="F117" s="2">
        <v>9249</v>
      </c>
      <c r="G117" s="2">
        <v>0.13900000000000001</v>
      </c>
      <c r="H117" s="2">
        <v>23</v>
      </c>
      <c r="I117" s="2">
        <v>92.5</v>
      </c>
      <c r="J117" s="2">
        <v>6.37</v>
      </c>
      <c r="K117" s="2">
        <v>0</v>
      </c>
      <c r="L117" s="2">
        <v>3.3</v>
      </c>
      <c r="M117" s="2">
        <v>718074.79</v>
      </c>
      <c r="N117" s="2">
        <v>115819.87</v>
      </c>
    </row>
    <row r="118" spans="1:14">
      <c r="A118" s="2" t="s">
        <v>51</v>
      </c>
      <c r="B118" s="3">
        <v>45658</v>
      </c>
      <c r="C118" s="2" t="s">
        <v>27</v>
      </c>
      <c r="D118" s="2" t="s">
        <v>16</v>
      </c>
      <c r="E118" s="2">
        <v>43685.14</v>
      </c>
      <c r="F118" s="2">
        <v>7821</v>
      </c>
      <c r="G118" s="2">
        <v>0.19</v>
      </c>
      <c r="H118" s="2">
        <v>17</v>
      </c>
      <c r="I118" s="2">
        <v>91</v>
      </c>
      <c r="J118" s="2">
        <v>2.4900000000000002</v>
      </c>
      <c r="K118" s="2">
        <v>1</v>
      </c>
      <c r="L118" s="2">
        <v>4.7</v>
      </c>
      <c r="M118" s="2">
        <v>714942.43</v>
      </c>
      <c r="N118" s="2">
        <v>94697.71</v>
      </c>
    </row>
    <row r="119" spans="1:14">
      <c r="A119" s="2" t="s">
        <v>51</v>
      </c>
      <c r="B119" s="3">
        <v>45689</v>
      </c>
      <c r="C119" s="2" t="s">
        <v>27</v>
      </c>
      <c r="D119" s="2" t="s">
        <v>16</v>
      </c>
      <c r="E119" s="2">
        <v>57360.01</v>
      </c>
      <c r="F119" s="2">
        <v>8434</v>
      </c>
      <c r="G119" s="2">
        <v>0.151</v>
      </c>
      <c r="H119" s="2">
        <v>19</v>
      </c>
      <c r="I119" s="2">
        <v>84.1</v>
      </c>
      <c r="J119" s="2">
        <v>1.56</v>
      </c>
      <c r="K119" s="2">
        <v>0</v>
      </c>
      <c r="L119" s="2">
        <v>4.7</v>
      </c>
      <c r="M119" s="2">
        <v>820519.04</v>
      </c>
      <c r="N119" s="2">
        <v>99035.88</v>
      </c>
    </row>
    <row r="120" spans="1:14">
      <c r="A120" s="2" t="s">
        <v>51</v>
      </c>
      <c r="B120" s="3">
        <v>45717</v>
      </c>
      <c r="C120" s="2" t="s">
        <v>27</v>
      </c>
      <c r="D120" s="2" t="s">
        <v>16</v>
      </c>
      <c r="E120" s="2">
        <v>42415.47</v>
      </c>
      <c r="F120" s="2">
        <v>8512</v>
      </c>
      <c r="G120" s="2">
        <v>0.13300000000000001</v>
      </c>
      <c r="H120" s="2">
        <v>18</v>
      </c>
      <c r="I120" s="2">
        <v>96.8</v>
      </c>
      <c r="J120" s="2">
        <v>14.95</v>
      </c>
      <c r="K120" s="2">
        <v>0</v>
      </c>
      <c r="L120" s="2">
        <v>4.5999999999999996</v>
      </c>
      <c r="M120" s="2">
        <v>684217.32</v>
      </c>
      <c r="N120" s="2">
        <v>136217.19</v>
      </c>
    </row>
    <row r="121" spans="1:14">
      <c r="A121" s="2" t="s">
        <v>51</v>
      </c>
      <c r="B121" s="3">
        <v>45748</v>
      </c>
      <c r="C121" s="2" t="s">
        <v>27</v>
      </c>
      <c r="D121" s="2" t="s">
        <v>16</v>
      </c>
      <c r="E121" s="2">
        <v>54968.98</v>
      </c>
      <c r="F121" s="2">
        <v>7816</v>
      </c>
      <c r="G121" s="2">
        <v>0.23200000000000001</v>
      </c>
      <c r="H121" s="2">
        <v>19</v>
      </c>
      <c r="I121" s="2">
        <v>95.7</v>
      </c>
      <c r="J121" s="2">
        <v>7.85</v>
      </c>
      <c r="K121" s="2">
        <v>0</v>
      </c>
      <c r="L121" s="2">
        <v>4.7</v>
      </c>
      <c r="M121" s="2">
        <v>735480.19</v>
      </c>
      <c r="N121" s="2">
        <v>88342.11</v>
      </c>
    </row>
    <row r="122" spans="1:14">
      <c r="A122" s="2" t="s">
        <v>52</v>
      </c>
      <c r="B122" s="3">
        <v>45658</v>
      </c>
      <c r="C122" s="2" t="s">
        <v>20</v>
      </c>
      <c r="D122" s="2" t="s">
        <v>18</v>
      </c>
      <c r="E122" s="2">
        <v>43896.13</v>
      </c>
      <c r="F122" s="2">
        <v>3853</v>
      </c>
      <c r="G122" s="2">
        <v>8.7999999999999995E-2</v>
      </c>
      <c r="H122" s="2">
        <v>13</v>
      </c>
      <c r="I122" s="2">
        <v>83</v>
      </c>
      <c r="J122" s="2">
        <v>6.8</v>
      </c>
      <c r="K122" s="2">
        <v>0</v>
      </c>
      <c r="L122" s="2">
        <v>4.4000000000000004</v>
      </c>
      <c r="M122" s="2">
        <v>509484.81</v>
      </c>
      <c r="N122" s="2">
        <v>85742.36</v>
      </c>
    </row>
    <row r="123" spans="1:14">
      <c r="A123" s="2" t="s">
        <v>52</v>
      </c>
      <c r="B123" s="3">
        <v>45689</v>
      </c>
      <c r="C123" s="2" t="s">
        <v>20</v>
      </c>
      <c r="D123" s="2" t="s">
        <v>18</v>
      </c>
      <c r="E123" s="2">
        <v>83044.17</v>
      </c>
      <c r="F123" s="2">
        <v>3694</v>
      </c>
      <c r="G123" s="2">
        <v>0</v>
      </c>
      <c r="H123" s="2">
        <v>14</v>
      </c>
      <c r="I123" s="2">
        <v>89.4</v>
      </c>
      <c r="J123" s="2">
        <v>2.2000000000000002</v>
      </c>
      <c r="K123" s="2">
        <v>0</v>
      </c>
      <c r="L123" s="2">
        <v>3.7</v>
      </c>
      <c r="M123" s="2">
        <v>654317.09</v>
      </c>
      <c r="N123" s="2">
        <v>121446.89</v>
      </c>
    </row>
    <row r="124" spans="1:14">
      <c r="A124" s="2" t="s">
        <v>52</v>
      </c>
      <c r="B124" s="3">
        <v>45717</v>
      </c>
      <c r="C124" s="2" t="s">
        <v>20</v>
      </c>
      <c r="D124" s="2" t="s">
        <v>18</v>
      </c>
      <c r="E124" s="2">
        <v>48396.13</v>
      </c>
      <c r="F124" s="2">
        <v>4423</v>
      </c>
      <c r="G124" s="2">
        <v>6.9000000000000006E-2</v>
      </c>
      <c r="H124" s="2">
        <v>15</v>
      </c>
      <c r="I124" s="2">
        <v>85.7</v>
      </c>
      <c r="J124" s="2">
        <v>1.88</v>
      </c>
      <c r="K124" s="2">
        <v>0</v>
      </c>
      <c r="L124" s="2">
        <v>3.9</v>
      </c>
      <c r="M124" s="2">
        <v>557487.26</v>
      </c>
      <c r="N124" s="2">
        <v>76432.19</v>
      </c>
    </row>
    <row r="125" spans="1:14">
      <c r="A125" s="2" t="s">
        <v>52</v>
      </c>
      <c r="B125" s="3">
        <v>45748</v>
      </c>
      <c r="C125" s="2" t="s">
        <v>20</v>
      </c>
      <c r="D125" s="2" t="s">
        <v>18</v>
      </c>
      <c r="E125" s="2">
        <v>19063.48</v>
      </c>
      <c r="F125" s="2">
        <v>1906</v>
      </c>
      <c r="G125" s="2">
        <v>0.216</v>
      </c>
      <c r="H125" s="2">
        <v>10</v>
      </c>
      <c r="I125" s="2">
        <v>97.8</v>
      </c>
      <c r="J125" s="2">
        <v>15.79</v>
      </c>
      <c r="K125" s="2">
        <v>0</v>
      </c>
      <c r="L125" s="2">
        <v>4.4000000000000004</v>
      </c>
      <c r="M125" s="2">
        <v>441275.42</v>
      </c>
      <c r="N125" s="2">
        <v>58234.87</v>
      </c>
    </row>
    <row r="126" spans="1:14">
      <c r="A126" s="2" t="s">
        <v>53</v>
      </c>
      <c r="B126" s="3">
        <v>45658</v>
      </c>
      <c r="C126" s="2" t="s">
        <v>24</v>
      </c>
      <c r="D126" s="2" t="s">
        <v>18</v>
      </c>
      <c r="E126" s="2">
        <v>61541.21</v>
      </c>
      <c r="F126" s="2">
        <v>10396</v>
      </c>
      <c r="G126" s="2">
        <v>0.123</v>
      </c>
      <c r="H126" s="2">
        <v>25</v>
      </c>
      <c r="I126" s="2">
        <v>88.1</v>
      </c>
      <c r="J126" s="2">
        <v>2.34</v>
      </c>
      <c r="K126" s="2">
        <v>1</v>
      </c>
      <c r="L126" s="2">
        <v>4.8</v>
      </c>
      <c r="M126" s="2">
        <v>914544.17</v>
      </c>
      <c r="N126" s="2">
        <v>79831.73</v>
      </c>
    </row>
    <row r="127" spans="1:14">
      <c r="A127" s="2" t="s">
        <v>53</v>
      </c>
      <c r="B127" s="3">
        <v>45689</v>
      </c>
      <c r="C127" s="2" t="s">
        <v>24</v>
      </c>
      <c r="D127" s="2" t="s">
        <v>18</v>
      </c>
      <c r="E127" s="2">
        <v>44747</v>
      </c>
      <c r="F127" s="2">
        <v>11076</v>
      </c>
      <c r="G127" s="2">
        <v>0.17599999999999999</v>
      </c>
      <c r="H127" s="2">
        <v>27</v>
      </c>
      <c r="I127" s="2">
        <v>98.3</v>
      </c>
      <c r="J127" s="2">
        <v>0.54</v>
      </c>
      <c r="K127" s="2">
        <v>0</v>
      </c>
      <c r="L127" s="2">
        <v>4.4000000000000004</v>
      </c>
      <c r="M127" s="2">
        <v>842439.67</v>
      </c>
      <c r="N127" s="2">
        <v>169983.63</v>
      </c>
    </row>
    <row r="128" spans="1:14">
      <c r="A128" s="2" t="s">
        <v>53</v>
      </c>
      <c r="B128" s="3">
        <v>45717</v>
      </c>
      <c r="C128" s="2" t="s">
        <v>24</v>
      </c>
      <c r="D128" s="2" t="s">
        <v>18</v>
      </c>
      <c r="E128" s="2">
        <v>56517.9</v>
      </c>
      <c r="F128" s="2">
        <v>9574</v>
      </c>
      <c r="G128" s="2">
        <v>0.20399999999999999</v>
      </c>
      <c r="H128" s="2">
        <v>20</v>
      </c>
      <c r="I128" s="2">
        <v>88.2</v>
      </c>
      <c r="J128" s="2">
        <v>5.37</v>
      </c>
      <c r="K128" s="2">
        <v>1</v>
      </c>
      <c r="L128" s="2">
        <v>4.9000000000000004</v>
      </c>
      <c r="M128" s="2">
        <v>842157.92</v>
      </c>
      <c r="N128" s="2">
        <v>107348.22</v>
      </c>
    </row>
    <row r="129" spans="1:14">
      <c r="A129" s="2" t="s">
        <v>53</v>
      </c>
      <c r="B129" s="3">
        <v>45748</v>
      </c>
      <c r="C129" s="2" t="s">
        <v>24</v>
      </c>
      <c r="D129" s="2" t="s">
        <v>18</v>
      </c>
      <c r="E129" s="2">
        <v>37828.5</v>
      </c>
      <c r="F129" s="2">
        <v>8221</v>
      </c>
      <c r="G129" s="2">
        <v>9.6000000000000002E-2</v>
      </c>
      <c r="H129" s="2">
        <v>19</v>
      </c>
      <c r="I129" s="2">
        <v>81.5</v>
      </c>
      <c r="J129" s="2">
        <v>3.19</v>
      </c>
      <c r="K129" s="2">
        <v>0</v>
      </c>
      <c r="L129" s="2">
        <v>4.8</v>
      </c>
      <c r="M129" s="2">
        <v>697155.3</v>
      </c>
      <c r="N129" s="2">
        <v>136408.54</v>
      </c>
    </row>
    <row r="130" spans="1:14">
      <c r="A130" s="2" t="s">
        <v>54</v>
      </c>
      <c r="B130" s="3">
        <v>45658</v>
      </c>
      <c r="C130" s="2" t="s">
        <v>15</v>
      </c>
      <c r="D130" s="2" t="s">
        <v>18</v>
      </c>
      <c r="E130" s="2">
        <v>66250.53</v>
      </c>
      <c r="F130" s="2">
        <v>10618</v>
      </c>
      <c r="G130" s="2">
        <v>0.14199999999999999</v>
      </c>
      <c r="H130" s="2">
        <v>27</v>
      </c>
      <c r="I130" s="2">
        <v>88.3</v>
      </c>
      <c r="J130" s="2">
        <v>1.1000000000000001</v>
      </c>
      <c r="K130" s="2">
        <v>1</v>
      </c>
      <c r="L130" s="2">
        <v>4.4000000000000004</v>
      </c>
      <c r="M130" s="2">
        <v>849018.3</v>
      </c>
      <c r="N130" s="2">
        <v>149035.13</v>
      </c>
    </row>
    <row r="131" spans="1:14">
      <c r="A131" s="2" t="s">
        <v>54</v>
      </c>
      <c r="B131" s="3">
        <v>45689</v>
      </c>
      <c r="C131" s="2" t="s">
        <v>15</v>
      </c>
      <c r="D131" s="2" t="s">
        <v>18</v>
      </c>
      <c r="E131" s="2">
        <v>68410.929999999993</v>
      </c>
      <c r="F131" s="2">
        <v>10596</v>
      </c>
      <c r="G131" s="2">
        <v>0.20699999999999999</v>
      </c>
      <c r="H131" s="2">
        <v>25</v>
      </c>
      <c r="I131" s="2">
        <v>81.2</v>
      </c>
      <c r="J131" s="2">
        <v>0.21</v>
      </c>
      <c r="K131" s="2">
        <v>0</v>
      </c>
      <c r="L131" s="2">
        <v>4</v>
      </c>
      <c r="M131" s="2">
        <v>801830.35</v>
      </c>
      <c r="N131" s="2">
        <v>114875.32</v>
      </c>
    </row>
    <row r="132" spans="1:14">
      <c r="A132" s="2" t="s">
        <v>54</v>
      </c>
      <c r="B132" s="3">
        <v>45717</v>
      </c>
      <c r="C132" s="2" t="s">
        <v>15</v>
      </c>
      <c r="D132" s="2" t="s">
        <v>18</v>
      </c>
      <c r="E132" s="2">
        <v>50735.63</v>
      </c>
      <c r="F132" s="2">
        <v>9619</v>
      </c>
      <c r="G132" s="2">
        <v>0.14399999999999999</v>
      </c>
      <c r="H132" s="2">
        <v>19</v>
      </c>
      <c r="I132" s="2">
        <v>93.8</v>
      </c>
      <c r="J132" s="2">
        <v>5.12</v>
      </c>
      <c r="K132" s="2">
        <v>1</v>
      </c>
      <c r="L132" s="2">
        <v>4.5</v>
      </c>
      <c r="M132" s="2">
        <v>725235.28</v>
      </c>
      <c r="N132" s="2">
        <v>121632.24</v>
      </c>
    </row>
    <row r="133" spans="1:14">
      <c r="A133" s="2" t="s">
        <v>54</v>
      </c>
      <c r="B133" s="3">
        <v>45748</v>
      </c>
      <c r="C133" s="2" t="s">
        <v>15</v>
      </c>
      <c r="D133" s="2" t="s">
        <v>18</v>
      </c>
      <c r="E133" s="2">
        <v>66455.8</v>
      </c>
      <c r="F133" s="2">
        <v>10836</v>
      </c>
      <c r="G133" s="2">
        <v>8.8999999999999996E-2</v>
      </c>
      <c r="H133" s="2">
        <v>25</v>
      </c>
      <c r="I133" s="2">
        <v>85</v>
      </c>
      <c r="J133" s="2">
        <v>9.77</v>
      </c>
      <c r="K133" s="2">
        <v>0</v>
      </c>
      <c r="L133" s="2">
        <v>4.5</v>
      </c>
      <c r="M133" s="2">
        <v>811452.72</v>
      </c>
      <c r="N133" s="2">
        <v>131325.67000000001</v>
      </c>
    </row>
    <row r="134" spans="1:14">
      <c r="A134" s="2" t="s">
        <v>55</v>
      </c>
      <c r="B134" s="3">
        <v>45658</v>
      </c>
      <c r="C134" s="2" t="s">
        <v>20</v>
      </c>
      <c r="D134" s="2" t="s">
        <v>18</v>
      </c>
      <c r="E134" s="2">
        <v>70276.28</v>
      </c>
      <c r="F134" s="2">
        <v>3043</v>
      </c>
      <c r="G134" s="2">
        <v>7.9000000000000001E-2</v>
      </c>
      <c r="H134" s="2">
        <v>9</v>
      </c>
      <c r="I134" s="2">
        <v>87.9</v>
      </c>
      <c r="J134" s="2">
        <v>3.77</v>
      </c>
      <c r="K134" s="2">
        <v>0</v>
      </c>
      <c r="L134" s="2">
        <v>4.4000000000000004</v>
      </c>
      <c r="M134" s="2">
        <v>527300.13</v>
      </c>
      <c r="N134" s="2">
        <v>84197.87</v>
      </c>
    </row>
    <row r="135" spans="1:14">
      <c r="A135" s="2" t="s">
        <v>55</v>
      </c>
      <c r="B135" s="3">
        <v>45689</v>
      </c>
      <c r="C135" s="2" t="s">
        <v>20</v>
      </c>
      <c r="D135" s="2" t="s">
        <v>18</v>
      </c>
      <c r="E135" s="2">
        <v>22071.64</v>
      </c>
      <c r="F135" s="2">
        <v>1814</v>
      </c>
      <c r="G135" s="2">
        <v>0.19600000000000001</v>
      </c>
      <c r="H135" s="2">
        <v>8</v>
      </c>
      <c r="I135" s="2">
        <v>81.099999999999994</v>
      </c>
      <c r="J135" s="2">
        <v>0.78</v>
      </c>
      <c r="K135" s="2">
        <v>0</v>
      </c>
      <c r="L135" s="2"/>
      <c r="M135" s="2">
        <v>400831.65</v>
      </c>
      <c r="N135" s="2">
        <v>70979.31</v>
      </c>
    </row>
    <row r="136" spans="1:14">
      <c r="A136" s="2" t="s">
        <v>55</v>
      </c>
      <c r="B136" s="3">
        <v>45717</v>
      </c>
      <c r="C136" s="2" t="s">
        <v>20</v>
      </c>
      <c r="D136" s="2" t="s">
        <v>18</v>
      </c>
      <c r="E136" s="2">
        <v>52285.45</v>
      </c>
      <c r="F136" s="2">
        <v>3618</v>
      </c>
      <c r="G136" s="2">
        <v>8.5999999999999993E-2</v>
      </c>
      <c r="H136" s="2">
        <v>11</v>
      </c>
      <c r="I136" s="2">
        <v>95.6</v>
      </c>
      <c r="J136" s="2">
        <v>5.17</v>
      </c>
      <c r="K136" s="2">
        <v>1</v>
      </c>
      <c r="L136" s="2">
        <v>4.4000000000000004</v>
      </c>
      <c r="M136" s="2">
        <v>593247.25</v>
      </c>
      <c r="N136" s="2">
        <v>81240.289999999994</v>
      </c>
    </row>
    <row r="137" spans="1:14">
      <c r="A137" s="2" t="s">
        <v>55</v>
      </c>
      <c r="B137" s="3">
        <v>45748</v>
      </c>
      <c r="C137" s="2" t="s">
        <v>20</v>
      </c>
      <c r="D137" s="2" t="s">
        <v>18</v>
      </c>
      <c r="E137" s="2">
        <v>70366.759999999995</v>
      </c>
      <c r="F137" s="2">
        <v>1963</v>
      </c>
      <c r="G137" s="2">
        <v>0.182</v>
      </c>
      <c r="H137" s="2">
        <v>8</v>
      </c>
      <c r="I137" s="2">
        <v>89.8</v>
      </c>
      <c r="J137" s="2">
        <v>3.2</v>
      </c>
      <c r="K137" s="2">
        <v>0</v>
      </c>
      <c r="L137" s="2">
        <v>4.5999999999999996</v>
      </c>
      <c r="M137" s="2">
        <v>529075.94999999995</v>
      </c>
      <c r="N137" s="2">
        <v>95978.83</v>
      </c>
    </row>
    <row r="138" spans="1:14">
      <c r="A138" s="2" t="s">
        <v>56</v>
      </c>
      <c r="B138" s="3">
        <v>45658</v>
      </c>
      <c r="C138" s="2" t="s">
        <v>24</v>
      </c>
      <c r="D138" s="2" t="s">
        <v>16</v>
      </c>
      <c r="E138" s="2">
        <v>71320.66</v>
      </c>
      <c r="F138" s="2">
        <v>7888</v>
      </c>
      <c r="G138" s="2">
        <v>4.8000000000000001E-2</v>
      </c>
      <c r="H138" s="2">
        <v>20</v>
      </c>
      <c r="I138" s="2">
        <v>78.099999999999994</v>
      </c>
      <c r="J138" s="2">
        <v>3.4</v>
      </c>
      <c r="K138" s="2">
        <v>0</v>
      </c>
      <c r="L138" s="2"/>
      <c r="M138" s="2">
        <v>633638.03</v>
      </c>
      <c r="N138" s="2">
        <v>99402.01</v>
      </c>
    </row>
    <row r="139" spans="1:14">
      <c r="A139" s="2" t="s">
        <v>56</v>
      </c>
      <c r="B139" s="3">
        <v>45689</v>
      </c>
      <c r="C139" s="2" t="s">
        <v>24</v>
      </c>
      <c r="D139" s="2" t="s">
        <v>16</v>
      </c>
      <c r="E139" s="2">
        <v>75109.67</v>
      </c>
      <c r="F139" s="2">
        <v>6244</v>
      </c>
      <c r="G139" s="2">
        <v>7.9000000000000001E-2</v>
      </c>
      <c r="H139" s="2">
        <v>15</v>
      </c>
      <c r="I139" s="2">
        <v>96.3</v>
      </c>
      <c r="J139" s="2">
        <v>7.38</v>
      </c>
      <c r="K139" s="2">
        <v>0</v>
      </c>
      <c r="L139" s="2">
        <v>3.7</v>
      </c>
      <c r="M139" s="2">
        <v>743348.84</v>
      </c>
      <c r="N139" s="2">
        <v>104186.09</v>
      </c>
    </row>
    <row r="140" spans="1:14">
      <c r="A140" s="2" t="s">
        <v>56</v>
      </c>
      <c r="B140" s="3">
        <v>45717</v>
      </c>
      <c r="C140" s="2" t="s">
        <v>24</v>
      </c>
      <c r="D140" s="2" t="s">
        <v>16</v>
      </c>
      <c r="E140" s="2">
        <v>69779</v>
      </c>
      <c r="F140" s="2">
        <v>6544</v>
      </c>
      <c r="G140" s="2">
        <v>0.152</v>
      </c>
      <c r="H140" s="2">
        <v>18</v>
      </c>
      <c r="I140" s="2">
        <v>90.2</v>
      </c>
      <c r="J140" s="2">
        <v>0.85</v>
      </c>
      <c r="K140" s="2">
        <v>1</v>
      </c>
      <c r="L140" s="2">
        <v>3.3</v>
      </c>
      <c r="M140" s="2">
        <v>758827.64</v>
      </c>
      <c r="N140" s="2">
        <v>161439.48000000001</v>
      </c>
    </row>
    <row r="141" spans="1:14">
      <c r="A141" s="2" t="s">
        <v>56</v>
      </c>
      <c r="B141" s="3">
        <v>45748</v>
      </c>
      <c r="C141" s="2" t="s">
        <v>24</v>
      </c>
      <c r="D141" s="2" t="s">
        <v>16</v>
      </c>
      <c r="E141" s="2">
        <v>44211.95</v>
      </c>
      <c r="F141" s="2">
        <v>5465</v>
      </c>
      <c r="G141" s="2">
        <v>0.187</v>
      </c>
      <c r="H141" s="2">
        <v>12</v>
      </c>
      <c r="I141" s="2">
        <v>90</v>
      </c>
      <c r="J141" s="2">
        <v>2.89</v>
      </c>
      <c r="K141" s="2">
        <v>0</v>
      </c>
      <c r="L141" s="2">
        <v>3.6</v>
      </c>
      <c r="M141" s="2">
        <v>646559.71</v>
      </c>
      <c r="N141" s="2">
        <v>97981.75</v>
      </c>
    </row>
    <row r="142" spans="1:14">
      <c r="A142" s="2" t="s">
        <v>57</v>
      </c>
      <c r="B142" s="3">
        <v>45658</v>
      </c>
      <c r="C142" s="2" t="s">
        <v>27</v>
      </c>
      <c r="D142" s="2" t="s">
        <v>18</v>
      </c>
      <c r="E142" s="2">
        <v>51430.31</v>
      </c>
      <c r="F142" s="2">
        <v>6427</v>
      </c>
      <c r="G142" s="2">
        <v>0.23400000000000001</v>
      </c>
      <c r="H142" s="2">
        <v>14</v>
      </c>
      <c r="I142" s="2">
        <v>88.8</v>
      </c>
      <c r="J142" s="2">
        <v>0.77</v>
      </c>
      <c r="K142" s="2">
        <v>0</v>
      </c>
      <c r="L142" s="2">
        <v>4.0999999999999996</v>
      </c>
      <c r="M142" s="2">
        <v>715890.53</v>
      </c>
      <c r="N142" s="2">
        <v>109032.15</v>
      </c>
    </row>
    <row r="143" spans="1:14">
      <c r="A143" s="2" t="s">
        <v>57</v>
      </c>
      <c r="B143" s="3">
        <v>45689</v>
      </c>
      <c r="C143" s="2" t="s">
        <v>27</v>
      </c>
      <c r="D143" s="2" t="s">
        <v>18</v>
      </c>
      <c r="E143" s="2">
        <v>45706.49</v>
      </c>
      <c r="F143" s="2">
        <v>6704</v>
      </c>
      <c r="G143" s="2">
        <v>3.7999999999999999E-2</v>
      </c>
      <c r="H143" s="2">
        <v>15</v>
      </c>
      <c r="I143" s="2">
        <v>94.2</v>
      </c>
      <c r="J143" s="2">
        <v>2.92</v>
      </c>
      <c r="K143" s="2">
        <v>0</v>
      </c>
      <c r="L143" s="2">
        <v>4.2</v>
      </c>
      <c r="M143" s="2">
        <v>715097.57</v>
      </c>
      <c r="N143" s="2">
        <v>151875.85999999999</v>
      </c>
    </row>
    <row r="144" spans="1:14">
      <c r="A144" s="2" t="s">
        <v>57</v>
      </c>
      <c r="B144" s="3">
        <v>45717</v>
      </c>
      <c r="C144" s="2" t="s">
        <v>27</v>
      </c>
      <c r="D144" s="2" t="s">
        <v>18</v>
      </c>
      <c r="E144" s="2">
        <v>44034.6</v>
      </c>
      <c r="F144" s="2">
        <v>5645</v>
      </c>
      <c r="G144" s="2">
        <v>6.9000000000000006E-2</v>
      </c>
      <c r="H144" s="2">
        <v>18</v>
      </c>
      <c r="I144" s="2">
        <v>88.5</v>
      </c>
      <c r="J144" s="2">
        <v>3.07</v>
      </c>
      <c r="K144" s="2">
        <v>0</v>
      </c>
      <c r="L144" s="2">
        <v>3.8</v>
      </c>
      <c r="M144" s="2">
        <v>682639.28</v>
      </c>
      <c r="N144" s="2">
        <v>77557.53</v>
      </c>
    </row>
    <row r="145" spans="1:14">
      <c r="A145" s="2" t="s">
        <v>57</v>
      </c>
      <c r="B145" s="3">
        <v>45748</v>
      </c>
      <c r="C145" s="2" t="s">
        <v>27</v>
      </c>
      <c r="D145" s="2" t="s">
        <v>18</v>
      </c>
      <c r="E145" s="2">
        <v>50198.12</v>
      </c>
      <c r="F145" s="2">
        <v>6089</v>
      </c>
      <c r="G145" s="2">
        <v>0.182</v>
      </c>
      <c r="H145" s="2">
        <v>19</v>
      </c>
      <c r="I145" s="2">
        <v>94</v>
      </c>
      <c r="J145" s="2">
        <v>9.6999999999999993</v>
      </c>
      <c r="K145" s="2">
        <v>0</v>
      </c>
      <c r="L145" s="2">
        <v>3.9</v>
      </c>
      <c r="M145" s="2">
        <v>695098.51</v>
      </c>
      <c r="N145" s="2">
        <v>108192.75</v>
      </c>
    </row>
    <row r="146" spans="1:14">
      <c r="A146" s="2" t="s">
        <v>58</v>
      </c>
      <c r="B146" s="3">
        <v>45658</v>
      </c>
      <c r="C146" s="2" t="s">
        <v>20</v>
      </c>
      <c r="D146" s="2" t="s">
        <v>16</v>
      </c>
      <c r="E146" s="2">
        <v>70488.2</v>
      </c>
      <c r="F146" s="2">
        <v>4312</v>
      </c>
      <c r="G146" s="2">
        <v>0.16900000000000001</v>
      </c>
      <c r="H146" s="2">
        <v>12</v>
      </c>
      <c r="I146" s="2">
        <v>90.2</v>
      </c>
      <c r="J146" s="2">
        <v>3.71</v>
      </c>
      <c r="K146" s="2">
        <v>0</v>
      </c>
      <c r="L146" s="2">
        <v>3.2</v>
      </c>
      <c r="M146" s="2">
        <v>577732.56999999995</v>
      </c>
      <c r="N146" s="2">
        <v>93804.27</v>
      </c>
    </row>
    <row r="147" spans="1:14">
      <c r="A147" s="2" t="s">
        <v>58</v>
      </c>
      <c r="B147" s="3">
        <v>45689</v>
      </c>
      <c r="C147" s="2" t="s">
        <v>20</v>
      </c>
      <c r="D147" s="2" t="s">
        <v>16</v>
      </c>
      <c r="E147" s="2">
        <v>50909.27</v>
      </c>
      <c r="F147" s="2">
        <v>3152</v>
      </c>
      <c r="G147" s="2">
        <v>0.06</v>
      </c>
      <c r="H147" s="2">
        <v>13</v>
      </c>
      <c r="I147" s="2">
        <v>93.7</v>
      </c>
      <c r="J147" s="2">
        <v>10.79</v>
      </c>
      <c r="K147" s="2">
        <v>0</v>
      </c>
      <c r="L147" s="2">
        <v>3.5</v>
      </c>
      <c r="M147" s="2">
        <v>537058.32999999996</v>
      </c>
      <c r="N147" s="2">
        <v>93555.71</v>
      </c>
    </row>
    <row r="148" spans="1:14">
      <c r="A148" s="2" t="s">
        <v>58</v>
      </c>
      <c r="B148" s="3">
        <v>45717</v>
      </c>
      <c r="C148" s="2" t="s">
        <v>20</v>
      </c>
      <c r="D148" s="2" t="s">
        <v>16</v>
      </c>
      <c r="E148" s="2">
        <v>53351.7</v>
      </c>
      <c r="F148" s="2">
        <v>4259</v>
      </c>
      <c r="G148" s="2">
        <v>0.156</v>
      </c>
      <c r="H148" s="2">
        <v>15</v>
      </c>
      <c r="I148" s="2">
        <v>93.7</v>
      </c>
      <c r="J148" s="2">
        <v>6.03</v>
      </c>
      <c r="K148" s="2">
        <v>0</v>
      </c>
      <c r="L148" s="2">
        <v>3.4</v>
      </c>
      <c r="M148" s="2">
        <v>601568.87</v>
      </c>
      <c r="N148" s="2">
        <v>91634.82</v>
      </c>
    </row>
    <row r="149" spans="1:14">
      <c r="A149" s="2" t="s">
        <v>58</v>
      </c>
      <c r="B149" s="3">
        <v>45748</v>
      </c>
      <c r="C149" s="2" t="s">
        <v>20</v>
      </c>
      <c r="D149" s="2" t="s">
        <v>16</v>
      </c>
      <c r="E149" s="2">
        <v>60322.400000000001</v>
      </c>
      <c r="F149" s="2">
        <v>3350</v>
      </c>
      <c r="G149" s="2">
        <v>0.108</v>
      </c>
      <c r="H149" s="2">
        <v>12</v>
      </c>
      <c r="I149" s="2">
        <v>89.4</v>
      </c>
      <c r="J149" s="2">
        <v>4.92</v>
      </c>
      <c r="K149" s="2">
        <v>0</v>
      </c>
      <c r="L149" s="2">
        <v>3.4</v>
      </c>
      <c r="M149" s="2">
        <v>570964.84</v>
      </c>
      <c r="N149" s="2">
        <v>81331.070000000007</v>
      </c>
    </row>
    <row r="150" spans="1:14">
      <c r="A150" s="2" t="s">
        <v>59</v>
      </c>
      <c r="B150" s="3">
        <v>45658</v>
      </c>
      <c r="C150" s="2" t="s">
        <v>24</v>
      </c>
      <c r="D150" s="2" t="s">
        <v>28</v>
      </c>
      <c r="E150" s="2">
        <v>51575.68</v>
      </c>
      <c r="F150" s="2">
        <v>5329</v>
      </c>
      <c r="G150" s="2">
        <v>4.7E-2</v>
      </c>
      <c r="H150" s="2">
        <v>17</v>
      </c>
      <c r="I150" s="2">
        <v>88.1</v>
      </c>
      <c r="J150" s="2">
        <v>19.78</v>
      </c>
      <c r="K150" s="2">
        <v>0</v>
      </c>
      <c r="L150" s="2">
        <v>3.8</v>
      </c>
      <c r="M150" s="2">
        <v>614024.91</v>
      </c>
      <c r="N150" s="2">
        <v>84828.93</v>
      </c>
    </row>
    <row r="151" spans="1:14">
      <c r="A151" s="2" t="s">
        <v>59</v>
      </c>
      <c r="B151" s="3">
        <v>45689</v>
      </c>
      <c r="C151" s="2" t="s">
        <v>24</v>
      </c>
      <c r="D151" s="2" t="s">
        <v>28</v>
      </c>
      <c r="E151" s="2">
        <v>43319.94</v>
      </c>
      <c r="F151" s="2">
        <v>6551</v>
      </c>
      <c r="G151" s="2">
        <v>4.3999999999999997E-2</v>
      </c>
      <c r="H151" s="2">
        <v>13</v>
      </c>
      <c r="I151" s="2">
        <v>99</v>
      </c>
      <c r="J151" s="2">
        <v>5.45</v>
      </c>
      <c r="K151" s="2">
        <v>0</v>
      </c>
      <c r="L151" s="2">
        <v>4.0999999999999996</v>
      </c>
      <c r="M151" s="2">
        <v>712868.35</v>
      </c>
      <c r="N151" s="2">
        <v>133650.51</v>
      </c>
    </row>
    <row r="152" spans="1:14">
      <c r="A152" s="2" t="s">
        <v>59</v>
      </c>
      <c r="B152" s="3">
        <v>45717</v>
      </c>
      <c r="C152" s="2" t="s">
        <v>24</v>
      </c>
      <c r="D152" s="2" t="s">
        <v>28</v>
      </c>
      <c r="E152" s="2">
        <v>47093.55</v>
      </c>
      <c r="F152" s="2">
        <v>5550</v>
      </c>
      <c r="G152" s="2">
        <v>0.1</v>
      </c>
      <c r="H152" s="2">
        <v>12</v>
      </c>
      <c r="I152" s="2">
        <v>95</v>
      </c>
      <c r="J152" s="2">
        <v>2.33</v>
      </c>
      <c r="K152" s="2">
        <v>1</v>
      </c>
      <c r="L152" s="2">
        <v>3.7</v>
      </c>
      <c r="M152" s="2">
        <v>696744.15</v>
      </c>
      <c r="N152" s="2">
        <v>152230.09</v>
      </c>
    </row>
    <row r="153" spans="1:14">
      <c r="A153" s="2" t="s">
        <v>59</v>
      </c>
      <c r="B153" s="3">
        <v>45748</v>
      </c>
      <c r="C153" s="2" t="s">
        <v>24</v>
      </c>
      <c r="D153" s="2" t="s">
        <v>28</v>
      </c>
      <c r="E153" s="2">
        <v>71855.09</v>
      </c>
      <c r="F153" s="2">
        <v>5911</v>
      </c>
      <c r="G153" s="2">
        <v>0.19700000000000001</v>
      </c>
      <c r="H153" s="2">
        <v>15</v>
      </c>
      <c r="I153" s="2">
        <v>94.3</v>
      </c>
      <c r="J153" s="2">
        <v>3.55</v>
      </c>
      <c r="K153" s="2">
        <v>0</v>
      </c>
      <c r="L153" s="2">
        <v>4.0999999999999996</v>
      </c>
      <c r="M153" s="2">
        <v>725847.99</v>
      </c>
      <c r="N153" s="2">
        <v>122698.73</v>
      </c>
    </row>
    <row r="154" spans="1:14">
      <c r="A154" s="2" t="s">
        <v>60</v>
      </c>
      <c r="B154" s="3">
        <v>45658</v>
      </c>
      <c r="C154" s="2" t="s">
        <v>15</v>
      </c>
      <c r="D154" s="2" t="s">
        <v>18</v>
      </c>
      <c r="E154" s="2">
        <v>75645.23</v>
      </c>
      <c r="F154" s="2">
        <v>9674</v>
      </c>
      <c r="G154" s="2">
        <v>0.23400000000000001</v>
      </c>
      <c r="H154" s="2">
        <v>21</v>
      </c>
      <c r="I154" s="2">
        <v>87.4</v>
      </c>
      <c r="J154" s="2">
        <v>0.2</v>
      </c>
      <c r="K154" s="2">
        <v>0</v>
      </c>
      <c r="L154" s="2">
        <v>4.5</v>
      </c>
      <c r="M154" s="2">
        <v>785028.25</v>
      </c>
      <c r="N154" s="2">
        <v>110726.44</v>
      </c>
    </row>
    <row r="155" spans="1:14">
      <c r="A155" s="2" t="s">
        <v>60</v>
      </c>
      <c r="B155" s="3">
        <v>45689</v>
      </c>
      <c r="C155" s="2" t="s">
        <v>15</v>
      </c>
      <c r="D155" s="2" t="s">
        <v>18</v>
      </c>
      <c r="E155" s="2">
        <v>64374.75</v>
      </c>
      <c r="F155" s="2">
        <v>6740</v>
      </c>
      <c r="G155" s="2">
        <v>0.16900000000000001</v>
      </c>
      <c r="H155" s="2">
        <v>18</v>
      </c>
      <c r="I155" s="2">
        <v>87</v>
      </c>
      <c r="J155" s="2">
        <v>2.09</v>
      </c>
      <c r="K155" s="2">
        <v>0</v>
      </c>
      <c r="L155" s="2">
        <v>4.2</v>
      </c>
      <c r="M155" s="2">
        <v>698492.67</v>
      </c>
      <c r="N155" s="2">
        <v>117319.32</v>
      </c>
    </row>
    <row r="156" spans="1:14">
      <c r="A156" s="2" t="s">
        <v>60</v>
      </c>
      <c r="B156" s="3">
        <v>45717</v>
      </c>
      <c r="C156" s="2" t="s">
        <v>15</v>
      </c>
      <c r="D156" s="2" t="s">
        <v>18</v>
      </c>
      <c r="E156" s="2">
        <v>61433.84</v>
      </c>
      <c r="F156" s="2">
        <v>7745</v>
      </c>
      <c r="G156" s="2">
        <v>0.18</v>
      </c>
      <c r="H156" s="2">
        <v>16</v>
      </c>
      <c r="I156" s="2">
        <v>90.5</v>
      </c>
      <c r="J156" s="2">
        <v>2.2599999999999998</v>
      </c>
      <c r="K156" s="2">
        <v>0</v>
      </c>
      <c r="L156" s="2">
        <v>4.2</v>
      </c>
      <c r="M156" s="2">
        <v>685830.24</v>
      </c>
      <c r="N156" s="2">
        <v>128736.18</v>
      </c>
    </row>
    <row r="157" spans="1:14">
      <c r="A157" s="2" t="s">
        <v>60</v>
      </c>
      <c r="B157" s="3">
        <v>45748</v>
      </c>
      <c r="C157" s="2" t="s">
        <v>15</v>
      </c>
      <c r="D157" s="2" t="s">
        <v>18</v>
      </c>
      <c r="E157" s="2">
        <v>42698.14</v>
      </c>
      <c r="F157" s="2">
        <v>7693</v>
      </c>
      <c r="G157" s="2">
        <v>0.187</v>
      </c>
      <c r="H157" s="2">
        <v>19</v>
      </c>
      <c r="I157" s="2">
        <v>90.1</v>
      </c>
      <c r="J157" s="2">
        <v>0.44</v>
      </c>
      <c r="K157" s="2">
        <v>0</v>
      </c>
      <c r="L157" s="2">
        <v>4.4000000000000004</v>
      </c>
      <c r="M157" s="2">
        <v>702318.94</v>
      </c>
      <c r="N157" s="2">
        <v>112829.29</v>
      </c>
    </row>
    <row r="158" spans="1:14">
      <c r="A158" s="2" t="s">
        <v>61</v>
      </c>
      <c r="B158" s="3">
        <v>45658</v>
      </c>
      <c r="C158" s="2" t="s">
        <v>20</v>
      </c>
      <c r="D158" s="2" t="s">
        <v>28</v>
      </c>
      <c r="E158" s="2">
        <v>86883.31</v>
      </c>
      <c r="F158" s="2">
        <v>6424</v>
      </c>
      <c r="G158" s="2">
        <v>5.7000000000000002E-2</v>
      </c>
      <c r="H158" s="2">
        <v>19</v>
      </c>
      <c r="I158" s="2">
        <v>85.2</v>
      </c>
      <c r="J158" s="2">
        <v>3.08</v>
      </c>
      <c r="K158" s="2">
        <v>0</v>
      </c>
      <c r="L158" s="2">
        <v>3.9</v>
      </c>
      <c r="M158" s="2">
        <v>700078.32</v>
      </c>
      <c r="N158" s="2">
        <v>123707.58</v>
      </c>
    </row>
    <row r="159" spans="1:14">
      <c r="A159" s="2" t="s">
        <v>61</v>
      </c>
      <c r="B159" s="3">
        <v>45689</v>
      </c>
      <c r="C159" s="2" t="s">
        <v>20</v>
      </c>
      <c r="D159" s="2" t="s">
        <v>28</v>
      </c>
      <c r="E159" s="2">
        <v>41863.08</v>
      </c>
      <c r="F159" s="2">
        <v>5400</v>
      </c>
      <c r="G159" s="2">
        <v>0.114</v>
      </c>
      <c r="H159" s="2">
        <v>11</v>
      </c>
      <c r="I159" s="2">
        <v>91.6</v>
      </c>
      <c r="J159" s="2">
        <v>7.99</v>
      </c>
      <c r="K159" s="2">
        <v>0</v>
      </c>
      <c r="L159" s="2">
        <v>3</v>
      </c>
      <c r="M159" s="2">
        <v>602002.31999999995</v>
      </c>
      <c r="N159" s="2">
        <v>110453.28</v>
      </c>
    </row>
    <row r="160" spans="1:14">
      <c r="A160" s="2" t="s">
        <v>61</v>
      </c>
      <c r="B160" s="3">
        <v>45717</v>
      </c>
      <c r="C160" s="2" t="s">
        <v>20</v>
      </c>
      <c r="D160" s="2" t="s">
        <v>28</v>
      </c>
      <c r="E160" s="2">
        <v>56918.16</v>
      </c>
      <c r="F160" s="2">
        <v>7015</v>
      </c>
      <c r="G160" s="2">
        <v>0.158</v>
      </c>
      <c r="H160" s="2">
        <v>18</v>
      </c>
      <c r="I160" s="2">
        <v>74.2</v>
      </c>
      <c r="J160" s="2">
        <v>0.2</v>
      </c>
      <c r="K160" s="2">
        <v>0</v>
      </c>
      <c r="L160" s="2">
        <v>3.4</v>
      </c>
      <c r="M160" s="2">
        <v>724216.07</v>
      </c>
      <c r="N160" s="2">
        <v>100627.56</v>
      </c>
    </row>
    <row r="161" spans="1:14">
      <c r="A161" s="2" t="s">
        <v>61</v>
      </c>
      <c r="B161" s="3">
        <v>45748</v>
      </c>
      <c r="C161" s="2" t="s">
        <v>20</v>
      </c>
      <c r="D161" s="2" t="s">
        <v>28</v>
      </c>
      <c r="E161" s="2">
        <v>23254.57</v>
      </c>
      <c r="F161" s="2">
        <v>3847</v>
      </c>
      <c r="G161" s="2">
        <v>0.159</v>
      </c>
      <c r="H161" s="2">
        <v>12</v>
      </c>
      <c r="I161" s="2">
        <v>93</v>
      </c>
      <c r="J161" s="2">
        <v>5.46</v>
      </c>
      <c r="K161" s="2">
        <v>0</v>
      </c>
      <c r="L161" s="2">
        <v>3.3</v>
      </c>
      <c r="M161" s="2">
        <v>620973.03</v>
      </c>
      <c r="N161" s="2">
        <v>72303.850000000006</v>
      </c>
    </row>
    <row r="162" spans="1:14">
      <c r="A162" s="2" t="s">
        <v>62</v>
      </c>
      <c r="B162" s="3">
        <v>45658</v>
      </c>
      <c r="C162" s="2" t="s">
        <v>24</v>
      </c>
      <c r="D162" s="2" t="s">
        <v>18</v>
      </c>
      <c r="E162" s="2">
        <v>41443.410000000003</v>
      </c>
      <c r="F162" s="2">
        <v>7455</v>
      </c>
      <c r="G162" s="2">
        <v>0.17499999999999999</v>
      </c>
      <c r="H162" s="2">
        <v>16</v>
      </c>
      <c r="I162" s="2">
        <v>90.1</v>
      </c>
      <c r="J162" s="2">
        <v>4.05</v>
      </c>
      <c r="K162" s="2">
        <v>0</v>
      </c>
      <c r="L162" s="2">
        <v>4</v>
      </c>
      <c r="M162" s="2">
        <v>650480.06000000006</v>
      </c>
      <c r="N162" s="2">
        <v>109012.07</v>
      </c>
    </row>
    <row r="163" spans="1:14">
      <c r="A163" s="2" t="s">
        <v>62</v>
      </c>
      <c r="B163" s="3">
        <v>45689</v>
      </c>
      <c r="C163" s="2" t="s">
        <v>24</v>
      </c>
      <c r="D163" s="2" t="s">
        <v>18</v>
      </c>
      <c r="E163" s="2">
        <v>48438.85</v>
      </c>
      <c r="F163" s="2">
        <v>6992</v>
      </c>
      <c r="G163" s="2">
        <v>3.4000000000000002E-2</v>
      </c>
      <c r="H163" s="2">
        <v>20</v>
      </c>
      <c r="I163" s="2">
        <v>91</v>
      </c>
      <c r="J163" s="2">
        <v>4.3600000000000003</v>
      </c>
      <c r="K163" s="2">
        <v>0</v>
      </c>
      <c r="L163" s="2">
        <v>4.2</v>
      </c>
      <c r="M163" s="2">
        <v>778298.88</v>
      </c>
      <c r="N163" s="2">
        <v>130076.72</v>
      </c>
    </row>
    <row r="164" spans="1:14">
      <c r="A164" s="2" t="s">
        <v>62</v>
      </c>
      <c r="B164" s="3">
        <v>45717</v>
      </c>
      <c r="C164" s="2" t="s">
        <v>24</v>
      </c>
      <c r="D164" s="2" t="s">
        <v>18</v>
      </c>
      <c r="E164" s="2">
        <v>57143.3</v>
      </c>
      <c r="F164" s="2">
        <v>8038</v>
      </c>
      <c r="G164" s="2">
        <v>0.193</v>
      </c>
      <c r="H164" s="2">
        <v>17</v>
      </c>
      <c r="I164" s="2">
        <v>72.599999999999994</v>
      </c>
      <c r="J164" s="2"/>
      <c r="K164" s="2">
        <v>0</v>
      </c>
      <c r="L164" s="2">
        <v>4.2</v>
      </c>
      <c r="M164" s="2">
        <v>677096.71</v>
      </c>
      <c r="N164" s="2">
        <v>97174.11</v>
      </c>
    </row>
    <row r="165" spans="1:14">
      <c r="A165" s="2" t="s">
        <v>62</v>
      </c>
      <c r="B165" s="3">
        <v>45748</v>
      </c>
      <c r="C165" s="2" t="s">
        <v>24</v>
      </c>
      <c r="D165" s="2" t="s">
        <v>18</v>
      </c>
      <c r="E165" s="2">
        <v>66870.62</v>
      </c>
      <c r="F165" s="2">
        <v>6055</v>
      </c>
      <c r="G165" s="2">
        <v>7.4999999999999997E-2</v>
      </c>
      <c r="H165" s="2">
        <v>19</v>
      </c>
      <c r="I165" s="2">
        <v>93.8</v>
      </c>
      <c r="J165" s="2">
        <v>0.54</v>
      </c>
      <c r="K165" s="2">
        <v>0</v>
      </c>
      <c r="L165" s="2">
        <v>4.3</v>
      </c>
      <c r="M165" s="2">
        <v>692008.64</v>
      </c>
      <c r="N165" s="2">
        <v>116337.87</v>
      </c>
    </row>
    <row r="166" spans="1:14">
      <c r="A166" s="2" t="s">
        <v>63</v>
      </c>
      <c r="B166" s="3">
        <v>45658</v>
      </c>
      <c r="C166" s="2" t="s">
        <v>20</v>
      </c>
      <c r="D166" s="2" t="s">
        <v>28</v>
      </c>
      <c r="E166" s="2">
        <v>72150.53</v>
      </c>
      <c r="F166" s="2">
        <v>9323</v>
      </c>
      <c r="G166" s="2">
        <v>0.157</v>
      </c>
      <c r="H166" s="2">
        <v>22</v>
      </c>
      <c r="I166" s="2">
        <v>82.9</v>
      </c>
      <c r="J166" s="2">
        <v>11.37</v>
      </c>
      <c r="K166" s="2">
        <v>1</v>
      </c>
      <c r="L166" s="2">
        <v>4.3</v>
      </c>
      <c r="M166" s="2">
        <v>825797.91</v>
      </c>
      <c r="N166" s="2">
        <v>130945.24</v>
      </c>
    </row>
    <row r="167" spans="1:14">
      <c r="A167" s="2" t="s">
        <v>63</v>
      </c>
      <c r="B167" s="3">
        <v>45689</v>
      </c>
      <c r="C167" s="2" t="s">
        <v>20</v>
      </c>
      <c r="D167" s="2" t="s">
        <v>28</v>
      </c>
      <c r="E167" s="2">
        <v>35303.300000000003</v>
      </c>
      <c r="F167" s="2">
        <v>8789</v>
      </c>
      <c r="G167" s="2">
        <v>0.123</v>
      </c>
      <c r="H167" s="2">
        <v>22</v>
      </c>
      <c r="I167" s="2">
        <v>86.1</v>
      </c>
      <c r="J167" s="2">
        <v>9.43</v>
      </c>
      <c r="K167" s="2">
        <v>0</v>
      </c>
      <c r="L167" s="2">
        <v>4.2</v>
      </c>
      <c r="M167" s="2">
        <v>706285.52</v>
      </c>
      <c r="N167" s="2">
        <v>138014.72</v>
      </c>
    </row>
    <row r="168" spans="1:14">
      <c r="A168" s="2" t="s">
        <v>63</v>
      </c>
      <c r="B168" s="3">
        <v>45717</v>
      </c>
      <c r="C168" s="2" t="s">
        <v>20</v>
      </c>
      <c r="D168" s="2" t="s">
        <v>28</v>
      </c>
      <c r="E168" s="2">
        <v>30301.86</v>
      </c>
      <c r="F168" s="2">
        <v>6939</v>
      </c>
      <c r="G168" s="2">
        <v>0.09</v>
      </c>
      <c r="H168" s="2">
        <v>16</v>
      </c>
      <c r="I168" s="2">
        <v>90.3</v>
      </c>
      <c r="J168" s="2">
        <v>3.49</v>
      </c>
      <c r="K168" s="2">
        <v>0</v>
      </c>
      <c r="L168" s="2">
        <v>4</v>
      </c>
      <c r="M168" s="2">
        <v>665534.69999999995</v>
      </c>
      <c r="N168" s="2">
        <v>113167.73</v>
      </c>
    </row>
    <row r="169" spans="1:14">
      <c r="A169" s="2" t="s">
        <v>63</v>
      </c>
      <c r="B169" s="3">
        <v>45748</v>
      </c>
      <c r="C169" s="2" t="s">
        <v>20</v>
      </c>
      <c r="D169" s="2" t="s">
        <v>28</v>
      </c>
      <c r="E169" s="2">
        <v>78432.14</v>
      </c>
      <c r="F169" s="2">
        <v>9440</v>
      </c>
      <c r="G169" s="2">
        <v>0.126</v>
      </c>
      <c r="H169" s="2">
        <v>23</v>
      </c>
      <c r="I169" s="2">
        <v>89.2</v>
      </c>
      <c r="J169" s="2">
        <v>7.86</v>
      </c>
      <c r="K169" s="2">
        <v>0</v>
      </c>
      <c r="L169" s="2">
        <v>4.0999999999999996</v>
      </c>
      <c r="M169" s="2">
        <v>820729.29</v>
      </c>
      <c r="N169" s="2">
        <v>159325.47</v>
      </c>
    </row>
    <row r="170" spans="1:14">
      <c r="A170" s="2" t="s">
        <v>64</v>
      </c>
      <c r="B170" s="3">
        <v>45658</v>
      </c>
      <c r="C170" s="2" t="s">
        <v>15</v>
      </c>
      <c r="D170" s="2" t="s">
        <v>16</v>
      </c>
      <c r="E170" s="2">
        <v>62059.18</v>
      </c>
      <c r="F170" s="2">
        <v>9374</v>
      </c>
      <c r="G170" s="2">
        <v>0.13600000000000001</v>
      </c>
      <c r="H170" s="2">
        <v>25</v>
      </c>
      <c r="I170" s="2">
        <v>87.1</v>
      </c>
      <c r="J170" s="2">
        <v>12.55</v>
      </c>
      <c r="K170" s="2">
        <v>0</v>
      </c>
      <c r="L170" s="2">
        <v>4.9000000000000004</v>
      </c>
      <c r="M170" s="2">
        <v>739831.73</v>
      </c>
      <c r="N170" s="2">
        <v>119490.21</v>
      </c>
    </row>
    <row r="171" spans="1:14">
      <c r="A171" s="2" t="s">
        <v>64</v>
      </c>
      <c r="B171" s="3">
        <v>45689</v>
      </c>
      <c r="C171" s="2" t="s">
        <v>15</v>
      </c>
      <c r="D171" s="2" t="s">
        <v>16</v>
      </c>
      <c r="E171" s="2">
        <v>32834.480000000003</v>
      </c>
      <c r="F171" s="2">
        <v>7576</v>
      </c>
      <c r="G171" s="2">
        <v>9.9000000000000005E-2</v>
      </c>
      <c r="H171" s="2">
        <v>15</v>
      </c>
      <c r="I171" s="2">
        <v>84.1</v>
      </c>
      <c r="J171" s="2">
        <v>3.48</v>
      </c>
      <c r="K171" s="2">
        <v>0</v>
      </c>
      <c r="L171" s="2">
        <v>5</v>
      </c>
      <c r="M171" s="2">
        <v>593637.14</v>
      </c>
      <c r="N171" s="2">
        <v>106648.14</v>
      </c>
    </row>
    <row r="172" spans="1:14">
      <c r="A172" s="2" t="s">
        <v>64</v>
      </c>
      <c r="B172" s="3">
        <v>45717</v>
      </c>
      <c r="C172" s="2" t="s">
        <v>15</v>
      </c>
      <c r="D172" s="2" t="s">
        <v>16</v>
      </c>
      <c r="E172" s="2">
        <v>50825.08</v>
      </c>
      <c r="F172" s="2">
        <v>8949</v>
      </c>
      <c r="G172" s="2">
        <v>0.157</v>
      </c>
      <c r="H172" s="2">
        <v>21</v>
      </c>
      <c r="I172" s="2">
        <v>84.7</v>
      </c>
      <c r="J172" s="2">
        <v>7.73</v>
      </c>
      <c r="K172" s="2">
        <v>0</v>
      </c>
      <c r="L172" s="2">
        <v>4.9000000000000004</v>
      </c>
      <c r="M172" s="2">
        <v>769702.76</v>
      </c>
      <c r="N172" s="2">
        <v>158697</v>
      </c>
    </row>
    <row r="173" spans="1:14">
      <c r="A173" s="2" t="s">
        <v>64</v>
      </c>
      <c r="B173" s="3">
        <v>45748</v>
      </c>
      <c r="C173" s="2" t="s">
        <v>15</v>
      </c>
      <c r="D173" s="2" t="s">
        <v>16</v>
      </c>
      <c r="E173" s="2">
        <v>36606.51</v>
      </c>
      <c r="F173" s="2">
        <v>7671</v>
      </c>
      <c r="G173" s="2">
        <v>0.11799999999999999</v>
      </c>
      <c r="H173" s="2">
        <v>18</v>
      </c>
      <c r="I173" s="2">
        <v>89.8</v>
      </c>
      <c r="J173" s="2">
        <v>0.25</v>
      </c>
      <c r="K173" s="2">
        <v>0</v>
      </c>
      <c r="L173" s="2">
        <v>4.4000000000000004</v>
      </c>
      <c r="M173" s="2">
        <v>679731.57</v>
      </c>
      <c r="N173" s="2">
        <v>121546.42</v>
      </c>
    </row>
    <row r="174" spans="1:14">
      <c r="A174" s="2" t="s">
        <v>65</v>
      </c>
      <c r="B174" s="3">
        <v>45658</v>
      </c>
      <c r="C174" s="2" t="s">
        <v>15</v>
      </c>
      <c r="D174" s="2" t="s">
        <v>16</v>
      </c>
      <c r="E174" s="2">
        <v>65237.79</v>
      </c>
      <c r="F174" s="2">
        <v>8741</v>
      </c>
      <c r="G174" s="2">
        <v>0.157</v>
      </c>
      <c r="H174" s="2">
        <v>20</v>
      </c>
      <c r="I174" s="2">
        <v>94.4</v>
      </c>
      <c r="J174" s="2">
        <v>6.43</v>
      </c>
      <c r="K174" s="2">
        <v>0</v>
      </c>
      <c r="L174" s="2">
        <v>3.3</v>
      </c>
      <c r="M174" s="2">
        <v>780344.18</v>
      </c>
      <c r="N174" s="2">
        <v>118239.09</v>
      </c>
    </row>
    <row r="175" spans="1:14">
      <c r="A175" s="2" t="s">
        <v>65</v>
      </c>
      <c r="B175" s="3">
        <v>45689</v>
      </c>
      <c r="C175" s="2" t="s">
        <v>15</v>
      </c>
      <c r="D175" s="2" t="s">
        <v>16</v>
      </c>
      <c r="E175" s="2">
        <v>43645.98</v>
      </c>
      <c r="F175" s="2">
        <v>9480</v>
      </c>
      <c r="G175" s="2">
        <v>0.109</v>
      </c>
      <c r="H175" s="2">
        <v>22</v>
      </c>
      <c r="I175" s="2">
        <v>89</v>
      </c>
      <c r="J175" s="2">
        <v>2.11</v>
      </c>
      <c r="K175" s="2">
        <v>0</v>
      </c>
      <c r="L175" s="2">
        <v>3.1</v>
      </c>
      <c r="M175" s="2">
        <v>721364.11</v>
      </c>
      <c r="N175" s="2">
        <v>147272.81</v>
      </c>
    </row>
    <row r="176" spans="1:14">
      <c r="A176" s="2" t="s">
        <v>65</v>
      </c>
      <c r="B176" s="3">
        <v>45717</v>
      </c>
      <c r="C176" s="2" t="s">
        <v>15</v>
      </c>
      <c r="D176" s="2" t="s">
        <v>16</v>
      </c>
      <c r="E176" s="2">
        <v>68040.149999999994</v>
      </c>
      <c r="F176" s="2">
        <v>9826</v>
      </c>
      <c r="G176" s="2">
        <v>0.125</v>
      </c>
      <c r="H176" s="2">
        <v>20</v>
      </c>
      <c r="I176" s="2">
        <v>83.9</v>
      </c>
      <c r="J176" s="2">
        <v>9.1199999999999992</v>
      </c>
      <c r="K176" s="2">
        <v>0</v>
      </c>
      <c r="L176" s="2">
        <v>3.6</v>
      </c>
      <c r="M176" s="2">
        <v>758138.29</v>
      </c>
      <c r="N176" s="2">
        <v>132975.26</v>
      </c>
    </row>
    <row r="177" spans="1:14">
      <c r="A177" s="2" t="s">
        <v>65</v>
      </c>
      <c r="B177" s="3">
        <v>45748</v>
      </c>
      <c r="C177" s="2" t="s">
        <v>15</v>
      </c>
      <c r="D177" s="2" t="s">
        <v>16</v>
      </c>
      <c r="E177" s="2">
        <v>63043.94</v>
      </c>
      <c r="F177" s="2">
        <v>10402</v>
      </c>
      <c r="G177" s="2">
        <v>0.159</v>
      </c>
      <c r="H177" s="2">
        <v>23</v>
      </c>
      <c r="I177" s="2">
        <v>93.9</v>
      </c>
      <c r="J177" s="2">
        <v>2.71</v>
      </c>
      <c r="K177" s="2">
        <v>0</v>
      </c>
      <c r="L177" s="2">
        <v>3.1</v>
      </c>
      <c r="M177" s="2">
        <v>804264</v>
      </c>
      <c r="N177" s="2">
        <v>167117.91</v>
      </c>
    </row>
    <row r="178" spans="1:14">
      <c r="A178" s="2" t="s">
        <v>66</v>
      </c>
      <c r="B178" s="3">
        <v>45658</v>
      </c>
      <c r="C178" s="2" t="s">
        <v>27</v>
      </c>
      <c r="D178" s="2" t="s">
        <v>21</v>
      </c>
      <c r="E178" s="2">
        <v>67494.09</v>
      </c>
      <c r="F178" s="2">
        <v>12361</v>
      </c>
      <c r="G178" s="2">
        <v>4.5999999999999999E-2</v>
      </c>
      <c r="H178" s="2">
        <v>24</v>
      </c>
      <c r="I178" s="2">
        <v>76.599999999999994</v>
      </c>
      <c r="J178" s="2">
        <v>3.65</v>
      </c>
      <c r="K178" s="2">
        <v>1</v>
      </c>
      <c r="L178" s="2">
        <v>3.7</v>
      </c>
      <c r="M178" s="2">
        <v>887537.75</v>
      </c>
      <c r="N178" s="2">
        <v>160362.92000000001</v>
      </c>
    </row>
    <row r="179" spans="1:14">
      <c r="A179" s="2" t="s">
        <v>66</v>
      </c>
      <c r="B179" s="3">
        <v>45689</v>
      </c>
      <c r="C179" s="2" t="s">
        <v>27</v>
      </c>
      <c r="D179" s="2" t="s">
        <v>21</v>
      </c>
      <c r="E179" s="2">
        <v>29389.32</v>
      </c>
      <c r="F179" s="2">
        <v>7925</v>
      </c>
      <c r="G179" s="2">
        <v>0.17699999999999999</v>
      </c>
      <c r="H179" s="2">
        <v>21</v>
      </c>
      <c r="I179" s="2">
        <v>90.9</v>
      </c>
      <c r="J179" s="2">
        <v>7.86</v>
      </c>
      <c r="K179" s="2">
        <v>0</v>
      </c>
      <c r="L179" s="2">
        <v>4</v>
      </c>
      <c r="M179" s="2">
        <v>783582</v>
      </c>
      <c r="N179" s="2">
        <v>130670.93</v>
      </c>
    </row>
    <row r="180" spans="1:14">
      <c r="A180" s="2" t="s">
        <v>66</v>
      </c>
      <c r="B180" s="3">
        <v>45717</v>
      </c>
      <c r="C180" s="2" t="s">
        <v>27</v>
      </c>
      <c r="D180" s="2" t="s">
        <v>21</v>
      </c>
      <c r="E180" s="2">
        <v>40535.089999999997</v>
      </c>
      <c r="F180" s="2">
        <v>8870</v>
      </c>
      <c r="G180" s="2">
        <v>4.1000000000000002E-2</v>
      </c>
      <c r="H180" s="2">
        <v>21</v>
      </c>
      <c r="I180" s="2">
        <v>86.6</v>
      </c>
      <c r="J180" s="2">
        <v>0.3</v>
      </c>
      <c r="K180" s="2">
        <v>0</v>
      </c>
      <c r="L180" s="2">
        <v>4.0999999999999996</v>
      </c>
      <c r="M180" s="2">
        <v>781955.52</v>
      </c>
      <c r="N180" s="2">
        <v>152578.71</v>
      </c>
    </row>
    <row r="181" spans="1:14">
      <c r="A181" s="2" t="s">
        <v>66</v>
      </c>
      <c r="B181" s="3">
        <v>45748</v>
      </c>
      <c r="C181" s="2" t="s">
        <v>27</v>
      </c>
      <c r="D181" s="2" t="s">
        <v>21</v>
      </c>
      <c r="E181" s="2">
        <v>74881.56</v>
      </c>
      <c r="F181" s="2">
        <v>9999</v>
      </c>
      <c r="G181" s="2">
        <v>1.2999999999999999E-2</v>
      </c>
      <c r="H181" s="2">
        <v>20</v>
      </c>
      <c r="I181" s="2">
        <v>89.6</v>
      </c>
      <c r="J181" s="2">
        <v>8.44</v>
      </c>
      <c r="K181" s="2">
        <v>0</v>
      </c>
      <c r="L181" s="2">
        <v>4.0999999999999996</v>
      </c>
      <c r="M181" s="2">
        <v>898031.04</v>
      </c>
      <c r="N181" s="2">
        <v>138666.5</v>
      </c>
    </row>
    <row r="182" spans="1:14">
      <c r="A182" s="2" t="s">
        <v>67</v>
      </c>
      <c r="B182" s="3">
        <v>45658</v>
      </c>
      <c r="C182" s="2" t="s">
        <v>27</v>
      </c>
      <c r="D182" s="2" t="s">
        <v>16</v>
      </c>
      <c r="E182" s="2">
        <v>68491.11</v>
      </c>
      <c r="F182" s="2">
        <v>11154</v>
      </c>
      <c r="G182" s="2">
        <v>1E-3</v>
      </c>
      <c r="H182" s="2">
        <v>24</v>
      </c>
      <c r="I182" s="2">
        <v>89.4</v>
      </c>
      <c r="J182" s="2">
        <v>5.27</v>
      </c>
      <c r="K182" s="2">
        <v>1</v>
      </c>
      <c r="L182" s="2">
        <v>3.9</v>
      </c>
      <c r="M182" s="2">
        <v>855341.28</v>
      </c>
      <c r="N182" s="2">
        <v>175823.8</v>
      </c>
    </row>
    <row r="183" spans="1:14">
      <c r="A183" s="2" t="s">
        <v>67</v>
      </c>
      <c r="B183" s="3">
        <v>45689</v>
      </c>
      <c r="C183" s="2" t="s">
        <v>27</v>
      </c>
      <c r="D183" s="2" t="s">
        <v>16</v>
      </c>
      <c r="E183" s="2">
        <v>45209.25</v>
      </c>
      <c r="F183" s="2">
        <v>9287</v>
      </c>
      <c r="G183" s="2">
        <v>0.14099999999999999</v>
      </c>
      <c r="H183" s="2">
        <v>22</v>
      </c>
      <c r="I183" s="2">
        <v>86.4</v>
      </c>
      <c r="J183" s="2">
        <v>13.22</v>
      </c>
      <c r="K183" s="2">
        <v>0</v>
      </c>
      <c r="L183" s="2">
        <v>3.6</v>
      </c>
      <c r="M183" s="2">
        <v>751393.88</v>
      </c>
      <c r="N183" s="2">
        <v>91480.320000000007</v>
      </c>
    </row>
    <row r="184" spans="1:14">
      <c r="A184" s="2" t="s">
        <v>67</v>
      </c>
      <c r="B184" s="3">
        <v>45717</v>
      </c>
      <c r="C184" s="2" t="s">
        <v>27</v>
      </c>
      <c r="D184" s="2" t="s">
        <v>16</v>
      </c>
      <c r="E184" s="2">
        <v>63010.23</v>
      </c>
      <c r="F184" s="2">
        <v>9812</v>
      </c>
      <c r="G184" s="2">
        <v>0.113</v>
      </c>
      <c r="H184" s="2">
        <v>24</v>
      </c>
      <c r="I184" s="2">
        <v>76.8</v>
      </c>
      <c r="J184" s="2">
        <v>1.02</v>
      </c>
      <c r="K184" s="2">
        <v>1</v>
      </c>
      <c r="L184" s="2">
        <v>3.8</v>
      </c>
      <c r="M184" s="2">
        <v>761077.08</v>
      </c>
      <c r="N184" s="2">
        <v>113605.93</v>
      </c>
    </row>
    <row r="185" spans="1:14">
      <c r="A185" s="2" t="s">
        <v>67</v>
      </c>
      <c r="B185" s="3">
        <v>45748</v>
      </c>
      <c r="C185" s="2" t="s">
        <v>27</v>
      </c>
      <c r="D185" s="2" t="s">
        <v>16</v>
      </c>
      <c r="E185" s="2">
        <v>57948.88</v>
      </c>
      <c r="F185" s="2">
        <v>10741</v>
      </c>
      <c r="G185" s="2">
        <v>7.0000000000000007E-2</v>
      </c>
      <c r="H185" s="2">
        <v>25</v>
      </c>
      <c r="I185" s="2">
        <v>90.1</v>
      </c>
      <c r="J185" s="2">
        <v>4.03</v>
      </c>
      <c r="K185" s="2">
        <v>0</v>
      </c>
      <c r="L185" s="2">
        <v>3.1</v>
      </c>
      <c r="M185" s="2">
        <v>819660.59</v>
      </c>
      <c r="N185" s="2">
        <v>172699.95</v>
      </c>
    </row>
    <row r="186" spans="1:14">
      <c r="A186" s="2" t="s">
        <v>68</v>
      </c>
      <c r="B186" s="3">
        <v>45658</v>
      </c>
      <c r="C186" s="2" t="s">
        <v>20</v>
      </c>
      <c r="D186" s="2" t="s">
        <v>18</v>
      </c>
      <c r="E186" s="2">
        <v>71941.62</v>
      </c>
      <c r="F186" s="2">
        <v>6084</v>
      </c>
      <c r="G186" s="2">
        <v>7.1999999999999995E-2</v>
      </c>
      <c r="H186" s="2">
        <v>13</v>
      </c>
      <c r="I186" s="2">
        <v>93.7</v>
      </c>
      <c r="J186" s="2">
        <v>2.34</v>
      </c>
      <c r="K186" s="2">
        <v>0</v>
      </c>
      <c r="L186" s="2">
        <v>4.4000000000000004</v>
      </c>
      <c r="M186" s="2">
        <v>681855.56</v>
      </c>
      <c r="N186" s="2">
        <v>117645.61</v>
      </c>
    </row>
    <row r="187" spans="1:14">
      <c r="A187" s="2" t="s">
        <v>68</v>
      </c>
      <c r="B187" s="3">
        <v>45689</v>
      </c>
      <c r="C187" s="2" t="s">
        <v>20</v>
      </c>
      <c r="D187" s="2" t="s">
        <v>18</v>
      </c>
      <c r="E187" s="2">
        <v>57147.88</v>
      </c>
      <c r="F187" s="2">
        <v>5252</v>
      </c>
      <c r="G187" s="2">
        <v>0.161</v>
      </c>
      <c r="H187" s="2">
        <v>15</v>
      </c>
      <c r="I187" s="2">
        <v>95.5</v>
      </c>
      <c r="J187" s="2">
        <v>8.51</v>
      </c>
      <c r="K187" s="2">
        <v>0</v>
      </c>
      <c r="L187" s="2">
        <v>4.4000000000000004</v>
      </c>
      <c r="M187" s="2">
        <v>678311.17</v>
      </c>
      <c r="N187" s="2">
        <v>132029.76000000001</v>
      </c>
    </row>
    <row r="188" spans="1:14">
      <c r="A188" s="2" t="s">
        <v>68</v>
      </c>
      <c r="B188" s="3">
        <v>45717</v>
      </c>
      <c r="C188" s="2" t="s">
        <v>20</v>
      </c>
      <c r="D188" s="2" t="s">
        <v>18</v>
      </c>
      <c r="E188" s="2">
        <v>48031.74</v>
      </c>
      <c r="F188" s="2">
        <v>6516</v>
      </c>
      <c r="G188" s="2">
        <v>6.7000000000000004E-2</v>
      </c>
      <c r="H188" s="2">
        <v>14</v>
      </c>
      <c r="I188" s="2">
        <v>99</v>
      </c>
      <c r="J188" s="2">
        <v>0.48</v>
      </c>
      <c r="K188" s="2">
        <v>1</v>
      </c>
      <c r="L188" s="2">
        <v>4.3</v>
      </c>
      <c r="M188" s="2">
        <v>765906.95</v>
      </c>
      <c r="N188" s="2">
        <v>114005.9</v>
      </c>
    </row>
    <row r="189" spans="1:14">
      <c r="A189" s="2" t="s">
        <v>68</v>
      </c>
      <c r="B189" s="3">
        <v>45748</v>
      </c>
      <c r="C189" s="2" t="s">
        <v>20</v>
      </c>
      <c r="D189" s="2" t="s">
        <v>18</v>
      </c>
      <c r="E189" s="2">
        <v>72784.800000000003</v>
      </c>
      <c r="F189" s="2">
        <v>7932</v>
      </c>
      <c r="G189" s="2">
        <v>9.4E-2</v>
      </c>
      <c r="H189" s="2">
        <v>20</v>
      </c>
      <c r="I189" s="2">
        <v>74.900000000000006</v>
      </c>
      <c r="J189" s="2">
        <v>13.62</v>
      </c>
      <c r="K189" s="2">
        <v>0</v>
      </c>
      <c r="L189" s="2">
        <v>4.2</v>
      </c>
      <c r="M189" s="2">
        <v>712546.38</v>
      </c>
      <c r="N189" s="2">
        <v>101480.04</v>
      </c>
    </row>
    <row r="190" spans="1:14">
      <c r="A190" s="2" t="s">
        <v>69</v>
      </c>
      <c r="B190" s="3">
        <v>45658</v>
      </c>
      <c r="C190" s="2" t="s">
        <v>15</v>
      </c>
      <c r="D190" s="2" t="s">
        <v>18</v>
      </c>
      <c r="E190" s="2">
        <v>71641.899999999994</v>
      </c>
      <c r="F190" s="2">
        <v>3506</v>
      </c>
      <c r="G190" s="2">
        <v>0</v>
      </c>
      <c r="H190" s="2">
        <v>11</v>
      </c>
      <c r="I190" s="2">
        <v>86.4</v>
      </c>
      <c r="J190" s="2">
        <v>7.77</v>
      </c>
      <c r="K190" s="2">
        <v>0</v>
      </c>
      <c r="L190" s="2">
        <v>4.0999999999999996</v>
      </c>
      <c r="M190" s="2">
        <v>625993.82999999996</v>
      </c>
      <c r="N190" s="2">
        <v>98960.320000000007</v>
      </c>
    </row>
    <row r="191" spans="1:14">
      <c r="A191" s="2" t="s">
        <v>69</v>
      </c>
      <c r="B191" s="3">
        <v>45689</v>
      </c>
      <c r="C191" s="2" t="s">
        <v>15</v>
      </c>
      <c r="D191" s="2" t="s">
        <v>18</v>
      </c>
      <c r="E191" s="2">
        <v>55788.61</v>
      </c>
      <c r="F191" s="2">
        <v>2312</v>
      </c>
      <c r="G191" s="2">
        <v>5.8000000000000003E-2</v>
      </c>
      <c r="H191" s="2">
        <v>10</v>
      </c>
      <c r="I191" s="2">
        <v>91.3</v>
      </c>
      <c r="J191" s="2">
        <v>1.99</v>
      </c>
      <c r="K191" s="2">
        <v>0</v>
      </c>
      <c r="L191" s="2">
        <v>3.8</v>
      </c>
      <c r="M191" s="2">
        <v>550962.93000000005</v>
      </c>
      <c r="N191" s="2">
        <v>97144.58</v>
      </c>
    </row>
    <row r="192" spans="1:14">
      <c r="A192" s="2" t="s">
        <v>69</v>
      </c>
      <c r="B192" s="3">
        <v>45717</v>
      </c>
      <c r="C192" s="2" t="s">
        <v>15</v>
      </c>
      <c r="D192" s="2" t="s">
        <v>18</v>
      </c>
      <c r="E192" s="2">
        <v>37705.879999999997</v>
      </c>
      <c r="F192" s="2">
        <v>1268</v>
      </c>
      <c r="G192" s="2">
        <v>0.25900000000000001</v>
      </c>
      <c r="H192" s="2">
        <v>9</v>
      </c>
      <c r="I192" s="2">
        <v>84.1</v>
      </c>
      <c r="J192" s="2">
        <v>4.7699999999999996</v>
      </c>
      <c r="K192" s="2">
        <v>0</v>
      </c>
      <c r="L192" s="2">
        <v>3.8</v>
      </c>
      <c r="M192" s="2">
        <v>443275.59</v>
      </c>
      <c r="N192" s="2">
        <v>53544.36</v>
      </c>
    </row>
    <row r="193" spans="1:14">
      <c r="A193" s="2" t="s">
        <v>69</v>
      </c>
      <c r="B193" s="3">
        <v>45748</v>
      </c>
      <c r="C193" s="2" t="s">
        <v>15</v>
      </c>
      <c r="D193" s="2" t="s">
        <v>18</v>
      </c>
      <c r="E193" s="2">
        <v>54966.18</v>
      </c>
      <c r="F193" s="2">
        <v>4423</v>
      </c>
      <c r="G193" s="2">
        <v>0.186</v>
      </c>
      <c r="H193" s="2">
        <v>13</v>
      </c>
      <c r="I193" s="2">
        <v>88.7</v>
      </c>
      <c r="J193" s="2">
        <v>0.2</v>
      </c>
      <c r="K193" s="2">
        <v>0</v>
      </c>
      <c r="L193" s="2">
        <v>4.4000000000000004</v>
      </c>
      <c r="M193" s="2">
        <v>554012.06999999995</v>
      </c>
      <c r="N193" s="2">
        <v>81101.62</v>
      </c>
    </row>
    <row r="194" spans="1:14">
      <c r="A194" s="2" t="s">
        <v>70</v>
      </c>
      <c r="B194" s="3">
        <v>45658</v>
      </c>
      <c r="C194" s="2" t="s">
        <v>27</v>
      </c>
      <c r="D194" s="2" t="s">
        <v>16</v>
      </c>
      <c r="E194" s="2">
        <v>81796.740000000005</v>
      </c>
      <c r="F194" s="2">
        <v>6177</v>
      </c>
      <c r="G194" s="2">
        <v>0.16400000000000001</v>
      </c>
      <c r="H194" s="2">
        <v>14</v>
      </c>
      <c r="I194" s="2">
        <v>87.9</v>
      </c>
      <c r="J194" s="2">
        <v>0.53</v>
      </c>
      <c r="K194" s="2">
        <v>0</v>
      </c>
      <c r="L194" s="2">
        <v>3.2</v>
      </c>
      <c r="M194" s="2">
        <v>643428.85</v>
      </c>
      <c r="N194" s="2">
        <v>94477.63</v>
      </c>
    </row>
    <row r="195" spans="1:14">
      <c r="A195" s="2" t="s">
        <v>70</v>
      </c>
      <c r="B195" s="3">
        <v>45689</v>
      </c>
      <c r="C195" s="2" t="s">
        <v>27</v>
      </c>
      <c r="D195" s="2" t="s">
        <v>16</v>
      </c>
      <c r="E195" s="2">
        <v>51133.43</v>
      </c>
      <c r="F195" s="2">
        <v>5150</v>
      </c>
      <c r="G195" s="2">
        <v>0.15</v>
      </c>
      <c r="H195" s="2">
        <v>12</v>
      </c>
      <c r="I195" s="2">
        <v>88.5</v>
      </c>
      <c r="J195" s="2">
        <v>1.54</v>
      </c>
      <c r="K195" s="2">
        <v>0</v>
      </c>
      <c r="L195" s="2">
        <v>3.2</v>
      </c>
      <c r="M195" s="2">
        <v>611924.27</v>
      </c>
      <c r="N195" s="2">
        <v>115488.75</v>
      </c>
    </row>
    <row r="196" spans="1:14">
      <c r="A196" s="2" t="s">
        <v>70</v>
      </c>
      <c r="B196" s="3">
        <v>45717</v>
      </c>
      <c r="C196" s="2" t="s">
        <v>27</v>
      </c>
      <c r="D196" s="2" t="s">
        <v>16</v>
      </c>
      <c r="E196" s="2">
        <v>40220.18</v>
      </c>
      <c r="F196" s="2">
        <v>3783</v>
      </c>
      <c r="G196" s="2">
        <v>8.8999999999999996E-2</v>
      </c>
      <c r="H196" s="2">
        <v>14</v>
      </c>
      <c r="I196" s="2">
        <v>86.6</v>
      </c>
      <c r="J196" s="2">
        <v>3.63</v>
      </c>
      <c r="K196" s="2">
        <v>0</v>
      </c>
      <c r="L196" s="2">
        <v>3.7</v>
      </c>
      <c r="M196" s="2">
        <v>559422.02</v>
      </c>
      <c r="N196" s="2">
        <v>73528.740000000005</v>
      </c>
    </row>
    <row r="197" spans="1:14">
      <c r="A197" s="2" t="s">
        <v>70</v>
      </c>
      <c r="B197" s="3">
        <v>45748</v>
      </c>
      <c r="C197" s="2" t="s">
        <v>27</v>
      </c>
      <c r="D197" s="2" t="s">
        <v>16</v>
      </c>
      <c r="E197" s="2">
        <v>41657.64</v>
      </c>
      <c r="F197" s="2">
        <v>3135</v>
      </c>
      <c r="G197" s="2">
        <v>0.22900000000000001</v>
      </c>
      <c r="H197" s="2">
        <v>7</v>
      </c>
      <c r="I197" s="2">
        <v>85.4</v>
      </c>
      <c r="J197" s="2">
        <v>13.48</v>
      </c>
      <c r="K197" s="2">
        <v>0</v>
      </c>
      <c r="L197" s="2"/>
      <c r="M197" s="2">
        <v>449465.06</v>
      </c>
      <c r="N197" s="2">
        <v>65694.78</v>
      </c>
    </row>
    <row r="198" spans="1:14">
      <c r="A198" s="2" t="s">
        <v>71</v>
      </c>
      <c r="B198" s="3">
        <v>45658</v>
      </c>
      <c r="C198" s="2" t="s">
        <v>20</v>
      </c>
      <c r="D198" s="2" t="s">
        <v>16</v>
      </c>
      <c r="E198" s="2">
        <v>71851.45</v>
      </c>
      <c r="F198" s="2">
        <v>4970</v>
      </c>
      <c r="G198" s="2">
        <v>9.8000000000000004E-2</v>
      </c>
      <c r="H198" s="2">
        <v>11</v>
      </c>
      <c r="I198" s="2">
        <v>89.6</v>
      </c>
      <c r="J198" s="2">
        <v>0.2</v>
      </c>
      <c r="K198" s="2">
        <v>0</v>
      </c>
      <c r="L198" s="2">
        <v>4.2</v>
      </c>
      <c r="M198" s="2">
        <v>691447.43</v>
      </c>
      <c r="N198" s="2">
        <v>114077.69</v>
      </c>
    </row>
    <row r="199" spans="1:14">
      <c r="A199" s="2" t="s">
        <v>71</v>
      </c>
      <c r="B199" s="3">
        <v>45689</v>
      </c>
      <c r="C199" s="2" t="s">
        <v>20</v>
      </c>
      <c r="D199" s="2" t="s">
        <v>16</v>
      </c>
      <c r="E199" s="2">
        <v>54002.83</v>
      </c>
      <c r="F199" s="2">
        <v>4366</v>
      </c>
      <c r="G199" s="2">
        <v>2.7E-2</v>
      </c>
      <c r="H199" s="2">
        <v>15</v>
      </c>
      <c r="I199" s="2">
        <v>90.6</v>
      </c>
      <c r="J199" s="2">
        <v>12.82</v>
      </c>
      <c r="K199" s="2">
        <v>0</v>
      </c>
      <c r="L199" s="2">
        <v>4.5999999999999996</v>
      </c>
      <c r="M199" s="2">
        <v>574066.61</v>
      </c>
      <c r="N199" s="2">
        <v>124674.67</v>
      </c>
    </row>
    <row r="200" spans="1:14">
      <c r="A200" s="2" t="s">
        <v>71</v>
      </c>
      <c r="B200" s="3">
        <v>45717</v>
      </c>
      <c r="C200" s="2" t="s">
        <v>20</v>
      </c>
      <c r="D200" s="2" t="s">
        <v>16</v>
      </c>
      <c r="E200" s="2">
        <v>54479.33</v>
      </c>
      <c r="F200" s="2">
        <v>5012</v>
      </c>
      <c r="G200" s="2">
        <v>0.28399999999999997</v>
      </c>
      <c r="H200" s="2">
        <v>13</v>
      </c>
      <c r="I200" s="2">
        <v>86</v>
      </c>
      <c r="J200" s="2">
        <v>2.2400000000000002</v>
      </c>
      <c r="K200" s="2">
        <v>1</v>
      </c>
      <c r="L200" s="2">
        <v>4.3</v>
      </c>
      <c r="M200" s="2">
        <v>578949.84</v>
      </c>
      <c r="N200" s="2">
        <v>80253.649999999994</v>
      </c>
    </row>
    <row r="201" spans="1:14">
      <c r="A201" s="2" t="s">
        <v>71</v>
      </c>
      <c r="B201" s="3">
        <v>45748</v>
      </c>
      <c r="C201" s="2" t="s">
        <v>20</v>
      </c>
      <c r="D201" s="2" t="s">
        <v>16</v>
      </c>
      <c r="E201" s="2">
        <v>61391.8</v>
      </c>
      <c r="F201" s="2">
        <v>5575</v>
      </c>
      <c r="G201" s="2">
        <v>0.189</v>
      </c>
      <c r="H201" s="2">
        <v>18</v>
      </c>
      <c r="I201" s="2">
        <v>90</v>
      </c>
      <c r="J201" s="2">
        <v>1.8</v>
      </c>
      <c r="K201" s="2">
        <v>0</v>
      </c>
      <c r="L201" s="2">
        <v>4.8</v>
      </c>
      <c r="M201" s="2">
        <v>735786.64</v>
      </c>
      <c r="N201" s="2">
        <v>126540.66</v>
      </c>
    </row>
    <row r="202" spans="1:14">
      <c r="A202" s="2" t="s">
        <v>72</v>
      </c>
      <c r="B202" s="3">
        <v>45658</v>
      </c>
      <c r="C202" s="2" t="s">
        <v>15</v>
      </c>
      <c r="D202" s="2" t="s">
        <v>21</v>
      </c>
      <c r="E202" s="2">
        <v>22312.93</v>
      </c>
      <c r="F202" s="2">
        <v>5955</v>
      </c>
      <c r="G202" s="2">
        <v>0.123</v>
      </c>
      <c r="H202" s="2">
        <v>13</v>
      </c>
      <c r="I202" s="2">
        <v>84.2</v>
      </c>
      <c r="J202" s="2">
        <v>0.41</v>
      </c>
      <c r="K202" s="2">
        <v>1</v>
      </c>
      <c r="L202" s="2">
        <v>4.5999999999999996</v>
      </c>
      <c r="M202" s="2">
        <v>598904.9</v>
      </c>
      <c r="N202" s="2">
        <v>72861</v>
      </c>
    </row>
    <row r="203" spans="1:14">
      <c r="A203" s="2" t="s">
        <v>72</v>
      </c>
      <c r="B203" s="3">
        <v>45689</v>
      </c>
      <c r="C203" s="2" t="s">
        <v>15</v>
      </c>
      <c r="D203" s="2" t="s">
        <v>21</v>
      </c>
      <c r="E203" s="2">
        <v>78111.97</v>
      </c>
      <c r="F203" s="2">
        <v>6389</v>
      </c>
      <c r="G203" s="2">
        <v>0.15</v>
      </c>
      <c r="H203" s="2">
        <v>13</v>
      </c>
      <c r="I203" s="2">
        <v>83.9</v>
      </c>
      <c r="J203" s="2">
        <v>3.05</v>
      </c>
      <c r="K203" s="2">
        <v>0</v>
      </c>
      <c r="L203" s="2">
        <v>4.8</v>
      </c>
      <c r="M203" s="2">
        <v>787715.51</v>
      </c>
      <c r="N203" s="2">
        <v>128969.62</v>
      </c>
    </row>
    <row r="204" spans="1:14">
      <c r="A204" s="2" t="s">
        <v>72</v>
      </c>
      <c r="B204" s="3">
        <v>45717</v>
      </c>
      <c r="C204" s="2" t="s">
        <v>15</v>
      </c>
      <c r="D204" s="2" t="s">
        <v>21</v>
      </c>
      <c r="E204" s="2">
        <v>35203.230000000003</v>
      </c>
      <c r="F204" s="2">
        <v>6896</v>
      </c>
      <c r="G204" s="2">
        <v>3.2000000000000001E-2</v>
      </c>
      <c r="H204" s="2">
        <v>14</v>
      </c>
      <c r="I204" s="2">
        <v>80.8</v>
      </c>
      <c r="J204" s="2">
        <v>8.44</v>
      </c>
      <c r="K204" s="2">
        <v>1</v>
      </c>
      <c r="L204" s="2">
        <v>5</v>
      </c>
      <c r="M204" s="2">
        <v>607084.92000000004</v>
      </c>
      <c r="N204" s="2">
        <v>98558.49</v>
      </c>
    </row>
    <row r="205" spans="1:14">
      <c r="A205" s="2" t="s">
        <v>72</v>
      </c>
      <c r="B205" s="3">
        <v>45748</v>
      </c>
      <c r="C205" s="2" t="s">
        <v>15</v>
      </c>
      <c r="D205" s="2" t="s">
        <v>21</v>
      </c>
      <c r="E205" s="2">
        <v>64104.28</v>
      </c>
      <c r="F205" s="2">
        <v>6015</v>
      </c>
      <c r="G205" s="2">
        <v>0.127</v>
      </c>
      <c r="H205" s="2">
        <v>15</v>
      </c>
      <c r="I205" s="2">
        <v>88.7</v>
      </c>
      <c r="J205" s="2">
        <v>0.78</v>
      </c>
      <c r="K205" s="2">
        <v>0</v>
      </c>
      <c r="L205" s="2">
        <v>4</v>
      </c>
      <c r="M205" s="2">
        <v>650795.49</v>
      </c>
      <c r="N205" s="2">
        <v>103035.89</v>
      </c>
    </row>
    <row r="206" spans="1:14">
      <c r="A206" s="2" t="s">
        <v>73</v>
      </c>
      <c r="B206" s="3">
        <v>45658</v>
      </c>
      <c r="C206" s="2" t="s">
        <v>15</v>
      </c>
      <c r="D206" s="2" t="s">
        <v>28</v>
      </c>
      <c r="E206" s="2">
        <v>92090.14</v>
      </c>
      <c r="F206" s="2">
        <v>9476</v>
      </c>
      <c r="G206" s="2">
        <v>7.0000000000000007E-2</v>
      </c>
      <c r="H206" s="2">
        <v>24</v>
      </c>
      <c r="I206" s="2">
        <v>94.3</v>
      </c>
      <c r="J206" s="2">
        <v>0.87</v>
      </c>
      <c r="K206" s="2">
        <v>0</v>
      </c>
      <c r="L206" s="2">
        <v>3.7</v>
      </c>
      <c r="M206" s="2">
        <v>825060.52</v>
      </c>
      <c r="N206" s="2">
        <v>143613.15</v>
      </c>
    </row>
    <row r="207" spans="1:14">
      <c r="A207" s="2" t="s">
        <v>73</v>
      </c>
      <c r="B207" s="3">
        <v>45689</v>
      </c>
      <c r="C207" s="2" t="s">
        <v>15</v>
      </c>
      <c r="D207" s="2" t="s">
        <v>28</v>
      </c>
      <c r="E207" s="2">
        <v>54300.87</v>
      </c>
      <c r="F207" s="2">
        <v>7875</v>
      </c>
      <c r="G207" s="2">
        <v>0.107</v>
      </c>
      <c r="H207" s="2">
        <v>19</v>
      </c>
      <c r="I207" s="2">
        <v>94.1</v>
      </c>
      <c r="J207" s="2">
        <v>0.95</v>
      </c>
      <c r="K207" s="2">
        <v>0</v>
      </c>
      <c r="L207" s="2">
        <v>3.7</v>
      </c>
      <c r="M207" s="2">
        <v>795464.47</v>
      </c>
      <c r="N207" s="2">
        <v>161150.51999999999</v>
      </c>
    </row>
    <row r="208" spans="1:14">
      <c r="A208" s="2" t="s">
        <v>73</v>
      </c>
      <c r="B208" s="3">
        <v>45717</v>
      </c>
      <c r="C208" s="2" t="s">
        <v>15</v>
      </c>
      <c r="D208" s="2" t="s">
        <v>28</v>
      </c>
      <c r="E208" s="2">
        <v>37983.35</v>
      </c>
      <c r="F208" s="2">
        <v>9283</v>
      </c>
      <c r="G208" s="2">
        <v>0.14899999999999999</v>
      </c>
      <c r="H208" s="2">
        <v>19</v>
      </c>
      <c r="I208" s="2">
        <v>83.2</v>
      </c>
      <c r="J208" s="2">
        <v>3.82</v>
      </c>
      <c r="K208" s="2">
        <v>0</v>
      </c>
      <c r="L208" s="2">
        <v>3.7</v>
      </c>
      <c r="M208" s="2">
        <v>671868.59</v>
      </c>
      <c r="N208" s="2">
        <v>71003.28</v>
      </c>
    </row>
    <row r="209" spans="1:14">
      <c r="A209" s="2" t="s">
        <v>73</v>
      </c>
      <c r="B209" s="3">
        <v>45748</v>
      </c>
      <c r="C209" s="2" t="s">
        <v>15</v>
      </c>
      <c r="D209" s="2" t="s">
        <v>28</v>
      </c>
      <c r="E209" s="2">
        <v>56413.83</v>
      </c>
      <c r="F209" s="2">
        <v>8303</v>
      </c>
      <c r="G209" s="2">
        <v>0.11600000000000001</v>
      </c>
      <c r="H209" s="2">
        <v>18</v>
      </c>
      <c r="I209" s="2">
        <v>93.6</v>
      </c>
      <c r="J209" s="2">
        <v>2.7</v>
      </c>
      <c r="K209" s="2">
        <v>0</v>
      </c>
      <c r="L209" s="2">
        <v>3.7</v>
      </c>
      <c r="M209" s="2">
        <v>675917.63</v>
      </c>
      <c r="N209" s="2">
        <v>112564.75</v>
      </c>
    </row>
    <row r="210" spans="1:14">
      <c r="A210" s="2" t="s">
        <v>74</v>
      </c>
      <c r="B210" s="3">
        <v>45658</v>
      </c>
      <c r="C210" s="2" t="s">
        <v>15</v>
      </c>
      <c r="D210" s="2" t="s">
        <v>18</v>
      </c>
      <c r="E210" s="2">
        <v>63457.19</v>
      </c>
      <c r="F210" s="2">
        <v>10125</v>
      </c>
      <c r="G210" s="2">
        <v>9.7000000000000003E-2</v>
      </c>
      <c r="H210" s="2">
        <v>24</v>
      </c>
      <c r="I210" s="2">
        <v>87</v>
      </c>
      <c r="J210" s="2">
        <v>3.84</v>
      </c>
      <c r="K210" s="2">
        <v>1</v>
      </c>
      <c r="L210" s="2">
        <v>3.7</v>
      </c>
      <c r="M210" s="2">
        <v>810446.53</v>
      </c>
      <c r="N210" s="2">
        <v>200575.34</v>
      </c>
    </row>
    <row r="211" spans="1:14">
      <c r="A211" s="2" t="s">
        <v>74</v>
      </c>
      <c r="B211" s="3">
        <v>45689</v>
      </c>
      <c r="C211" s="2" t="s">
        <v>15</v>
      </c>
      <c r="D211" s="2" t="s">
        <v>18</v>
      </c>
      <c r="E211" s="2">
        <v>62949.7</v>
      </c>
      <c r="F211" s="2">
        <v>9458</v>
      </c>
      <c r="G211" s="2">
        <v>0.17100000000000001</v>
      </c>
      <c r="H211" s="2">
        <v>19</v>
      </c>
      <c r="I211" s="2">
        <v>84.9</v>
      </c>
      <c r="J211" s="2">
        <v>5.09</v>
      </c>
      <c r="K211" s="2">
        <v>0</v>
      </c>
      <c r="L211" s="2">
        <v>3.3</v>
      </c>
      <c r="M211" s="2">
        <v>691288.19</v>
      </c>
      <c r="N211" s="2">
        <v>159074.14000000001</v>
      </c>
    </row>
    <row r="212" spans="1:14">
      <c r="A212" s="2" t="s">
        <v>74</v>
      </c>
      <c r="B212" s="3">
        <v>45717</v>
      </c>
      <c r="C212" s="2" t="s">
        <v>15</v>
      </c>
      <c r="D212" s="2" t="s">
        <v>18</v>
      </c>
      <c r="E212" s="2">
        <v>107970.19</v>
      </c>
      <c r="F212" s="2">
        <v>12870</v>
      </c>
      <c r="G212" s="2">
        <v>2.9000000000000001E-2</v>
      </c>
      <c r="H212" s="2">
        <v>31</v>
      </c>
      <c r="I212" s="2">
        <v>91.7</v>
      </c>
      <c r="J212" s="2">
        <v>3.82</v>
      </c>
      <c r="K212" s="2">
        <v>1</v>
      </c>
      <c r="L212" s="2">
        <v>3.7</v>
      </c>
      <c r="M212" s="2">
        <v>946833.54</v>
      </c>
      <c r="N212" s="2">
        <v>184540.31</v>
      </c>
    </row>
    <row r="213" spans="1:14">
      <c r="A213" s="2" t="s">
        <v>74</v>
      </c>
      <c r="B213" s="3">
        <v>45748</v>
      </c>
      <c r="C213" s="2" t="s">
        <v>15</v>
      </c>
      <c r="D213" s="2" t="s">
        <v>18</v>
      </c>
      <c r="E213" s="2">
        <v>49405.75</v>
      </c>
      <c r="F213" s="2">
        <v>9752</v>
      </c>
      <c r="G213" s="2">
        <v>9.2999999999999999E-2</v>
      </c>
      <c r="H213" s="2">
        <v>21</v>
      </c>
      <c r="I213" s="2">
        <v>87</v>
      </c>
      <c r="J213" s="2">
        <v>12.28</v>
      </c>
      <c r="K213" s="2">
        <v>0</v>
      </c>
      <c r="L213" s="2">
        <v>4.0999999999999996</v>
      </c>
      <c r="M213" s="2">
        <v>761963.23</v>
      </c>
      <c r="N213" s="2">
        <v>150113.60999999999</v>
      </c>
    </row>
    <row r="214" spans="1:14">
      <c r="A214" s="2" t="s">
        <v>75</v>
      </c>
      <c r="B214" s="3">
        <v>45658</v>
      </c>
      <c r="C214" s="2" t="s">
        <v>27</v>
      </c>
      <c r="D214" s="2" t="s">
        <v>16</v>
      </c>
      <c r="E214" s="2">
        <v>50887.46</v>
      </c>
      <c r="F214" s="2">
        <v>9505</v>
      </c>
      <c r="G214" s="2">
        <v>9.0999999999999998E-2</v>
      </c>
      <c r="H214" s="2">
        <v>25</v>
      </c>
      <c r="I214" s="2">
        <v>89.7</v>
      </c>
      <c r="J214" s="2">
        <v>2.8</v>
      </c>
      <c r="K214" s="2">
        <v>0</v>
      </c>
      <c r="L214" s="2">
        <v>4.3</v>
      </c>
      <c r="M214" s="2">
        <v>812152.6</v>
      </c>
      <c r="N214" s="2">
        <v>138419.43</v>
      </c>
    </row>
    <row r="215" spans="1:14">
      <c r="A215" s="2" t="s">
        <v>75</v>
      </c>
      <c r="B215" s="3">
        <v>45689</v>
      </c>
      <c r="C215" s="2" t="s">
        <v>27</v>
      </c>
      <c r="D215" s="2" t="s">
        <v>16</v>
      </c>
      <c r="E215" s="2">
        <v>41819.449999999997</v>
      </c>
      <c r="F215" s="2">
        <v>9412</v>
      </c>
      <c r="G215" s="2">
        <v>0.15</v>
      </c>
      <c r="H215" s="2">
        <v>22</v>
      </c>
      <c r="I215" s="2">
        <v>91</v>
      </c>
      <c r="J215" s="2">
        <v>3.67</v>
      </c>
      <c r="K215" s="2">
        <v>0</v>
      </c>
      <c r="L215" s="2">
        <v>4.2</v>
      </c>
      <c r="M215" s="2">
        <v>804975.5</v>
      </c>
      <c r="N215" s="2">
        <v>140054.5</v>
      </c>
    </row>
    <row r="216" spans="1:14">
      <c r="A216" s="2" t="s">
        <v>75</v>
      </c>
      <c r="B216" s="3">
        <v>45717</v>
      </c>
      <c r="C216" s="2" t="s">
        <v>27</v>
      </c>
      <c r="D216" s="2" t="s">
        <v>16</v>
      </c>
      <c r="E216" s="2">
        <v>35296.54</v>
      </c>
      <c r="F216" s="2">
        <v>9644</v>
      </c>
      <c r="G216" s="2">
        <v>0</v>
      </c>
      <c r="H216" s="2">
        <v>22</v>
      </c>
      <c r="I216" s="2">
        <v>88</v>
      </c>
      <c r="J216" s="2">
        <v>2.81</v>
      </c>
      <c r="K216" s="2">
        <v>0</v>
      </c>
      <c r="L216" s="2">
        <v>4.7</v>
      </c>
      <c r="M216" s="2">
        <v>752321.72</v>
      </c>
      <c r="N216" s="2">
        <v>137788.51</v>
      </c>
    </row>
    <row r="217" spans="1:14">
      <c r="A217" s="2" t="s">
        <v>75</v>
      </c>
      <c r="B217" s="3">
        <v>45748</v>
      </c>
      <c r="C217" s="2" t="s">
        <v>27</v>
      </c>
      <c r="D217" s="2" t="s">
        <v>16</v>
      </c>
      <c r="E217" s="2">
        <v>47391.09</v>
      </c>
      <c r="F217" s="2">
        <v>11224</v>
      </c>
      <c r="G217" s="2">
        <v>0.14699999999999999</v>
      </c>
      <c r="H217" s="2">
        <v>25</v>
      </c>
      <c r="I217" s="2">
        <v>88.4</v>
      </c>
      <c r="J217" s="2">
        <v>2.44</v>
      </c>
      <c r="K217" s="2">
        <v>0</v>
      </c>
      <c r="L217" s="2">
        <v>4.9000000000000004</v>
      </c>
      <c r="M217" s="2">
        <v>836908.24</v>
      </c>
      <c r="N217" s="2">
        <v>141090.26</v>
      </c>
    </row>
    <row r="218" spans="1:14">
      <c r="A218" s="2" t="s">
        <v>76</v>
      </c>
      <c r="B218" s="3">
        <v>45658</v>
      </c>
      <c r="C218" s="2" t="s">
        <v>20</v>
      </c>
      <c r="D218" s="2" t="s">
        <v>21</v>
      </c>
      <c r="E218" s="2">
        <v>69180.539999999994</v>
      </c>
      <c r="F218" s="2">
        <v>5394</v>
      </c>
      <c r="G218" s="2">
        <v>0.126</v>
      </c>
      <c r="H218" s="2">
        <v>12</v>
      </c>
      <c r="I218" s="2">
        <v>82.9</v>
      </c>
      <c r="J218" s="2">
        <v>3.27</v>
      </c>
      <c r="K218" s="2">
        <v>0</v>
      </c>
      <c r="L218" s="2">
        <v>3.3</v>
      </c>
      <c r="M218" s="2">
        <v>674289.1</v>
      </c>
      <c r="N218" s="2">
        <v>117773.79</v>
      </c>
    </row>
    <row r="219" spans="1:14">
      <c r="A219" s="2" t="s">
        <v>76</v>
      </c>
      <c r="B219" s="3">
        <v>45689</v>
      </c>
      <c r="C219" s="2" t="s">
        <v>20</v>
      </c>
      <c r="D219" s="2" t="s">
        <v>21</v>
      </c>
      <c r="E219" s="2">
        <v>33987.33</v>
      </c>
      <c r="F219" s="2">
        <v>5014</v>
      </c>
      <c r="G219" s="2">
        <v>0.246</v>
      </c>
      <c r="H219" s="2">
        <v>17</v>
      </c>
      <c r="I219" s="2">
        <v>94.3</v>
      </c>
      <c r="J219" s="2">
        <v>10.34</v>
      </c>
      <c r="K219" s="2">
        <v>0</v>
      </c>
      <c r="L219" s="2">
        <v>3.9</v>
      </c>
      <c r="M219" s="2">
        <v>622892.42000000004</v>
      </c>
      <c r="N219" s="2">
        <v>101032.52</v>
      </c>
    </row>
    <row r="220" spans="1:14">
      <c r="A220" s="2" t="s">
        <v>76</v>
      </c>
      <c r="B220" s="3">
        <v>45717</v>
      </c>
      <c r="C220" s="2" t="s">
        <v>20</v>
      </c>
      <c r="D220" s="2" t="s">
        <v>21</v>
      </c>
      <c r="E220" s="2">
        <v>58785.33</v>
      </c>
      <c r="F220" s="2">
        <v>4467</v>
      </c>
      <c r="G220" s="2">
        <v>0.22900000000000001</v>
      </c>
      <c r="H220" s="2">
        <v>14</v>
      </c>
      <c r="I220" s="2">
        <v>90.7</v>
      </c>
      <c r="J220" s="2">
        <v>1.92</v>
      </c>
      <c r="K220" s="2">
        <v>0</v>
      </c>
      <c r="L220" s="2">
        <v>3.7</v>
      </c>
      <c r="M220" s="2">
        <v>673348.56</v>
      </c>
      <c r="N220" s="2">
        <v>69464.59</v>
      </c>
    </row>
    <row r="221" spans="1:14">
      <c r="A221" s="2" t="s">
        <v>76</v>
      </c>
      <c r="B221" s="3">
        <v>45748</v>
      </c>
      <c r="C221" s="2" t="s">
        <v>20</v>
      </c>
      <c r="D221" s="2" t="s">
        <v>21</v>
      </c>
      <c r="E221" s="2">
        <v>16451.849999999999</v>
      </c>
      <c r="F221" s="2">
        <v>4678</v>
      </c>
      <c r="G221" s="2">
        <v>0.13300000000000001</v>
      </c>
      <c r="H221" s="2">
        <v>11</v>
      </c>
      <c r="I221" s="2">
        <v>95.9</v>
      </c>
      <c r="J221" s="2">
        <v>3.1</v>
      </c>
      <c r="K221" s="2">
        <v>0</v>
      </c>
      <c r="L221" s="2">
        <v>3.9</v>
      </c>
      <c r="M221" s="2">
        <v>606278.30000000005</v>
      </c>
      <c r="N221" s="2">
        <v>102213.26</v>
      </c>
    </row>
    <row r="222" spans="1:14">
      <c r="A222" s="2" t="s">
        <v>77</v>
      </c>
      <c r="B222" s="3">
        <v>45658</v>
      </c>
      <c r="C222" s="2" t="s">
        <v>15</v>
      </c>
      <c r="D222" s="2" t="s">
        <v>18</v>
      </c>
      <c r="E222" s="2">
        <v>53367.73</v>
      </c>
      <c r="F222" s="2">
        <v>7291</v>
      </c>
      <c r="G222" s="2">
        <v>0.14599999999999999</v>
      </c>
      <c r="H222" s="2">
        <v>18</v>
      </c>
      <c r="I222" s="2">
        <v>90.6</v>
      </c>
      <c r="J222" s="2">
        <v>6.34</v>
      </c>
      <c r="K222" s="2">
        <v>1</v>
      </c>
      <c r="L222" s="2">
        <v>3.8</v>
      </c>
      <c r="M222" s="2">
        <v>712219.81</v>
      </c>
      <c r="N222" s="2">
        <v>85906.54</v>
      </c>
    </row>
    <row r="223" spans="1:14">
      <c r="A223" s="2" t="s">
        <v>77</v>
      </c>
      <c r="B223" s="3">
        <v>45689</v>
      </c>
      <c r="C223" s="2" t="s">
        <v>15</v>
      </c>
      <c r="D223" s="2" t="s">
        <v>18</v>
      </c>
      <c r="E223" s="2">
        <v>27194.639999999999</v>
      </c>
      <c r="F223" s="2">
        <v>7404</v>
      </c>
      <c r="G223" s="2">
        <v>8.7999999999999995E-2</v>
      </c>
      <c r="H223" s="2">
        <v>18</v>
      </c>
      <c r="I223" s="2">
        <v>90.2</v>
      </c>
      <c r="J223" s="2">
        <v>1.2</v>
      </c>
      <c r="K223" s="2">
        <v>0</v>
      </c>
      <c r="L223" s="2">
        <v>3.4</v>
      </c>
      <c r="M223" s="2">
        <v>672670.54</v>
      </c>
      <c r="N223" s="2">
        <v>132684.18</v>
      </c>
    </row>
    <row r="224" spans="1:14">
      <c r="A224" s="2" t="s">
        <v>77</v>
      </c>
      <c r="B224" s="3">
        <v>45717</v>
      </c>
      <c r="C224" s="2" t="s">
        <v>15</v>
      </c>
      <c r="D224" s="2" t="s">
        <v>18</v>
      </c>
      <c r="E224" s="2">
        <v>66962.740000000005</v>
      </c>
      <c r="F224" s="2">
        <v>7880</v>
      </c>
      <c r="G224" s="2">
        <v>0.11600000000000001</v>
      </c>
      <c r="H224" s="2">
        <v>19</v>
      </c>
      <c r="I224" s="2">
        <v>90.4</v>
      </c>
      <c r="J224" s="2">
        <v>4.5</v>
      </c>
      <c r="K224" s="2">
        <v>0</v>
      </c>
      <c r="L224" s="2">
        <v>3.3</v>
      </c>
      <c r="M224" s="2">
        <v>732667.92</v>
      </c>
      <c r="N224" s="2">
        <v>128654.46</v>
      </c>
    </row>
    <row r="225" spans="1:14">
      <c r="A225" s="2" t="s">
        <v>77</v>
      </c>
      <c r="B225" s="3">
        <v>45748</v>
      </c>
      <c r="C225" s="2" t="s">
        <v>15</v>
      </c>
      <c r="D225" s="2" t="s">
        <v>18</v>
      </c>
      <c r="E225" s="2">
        <v>73540.990000000005</v>
      </c>
      <c r="F225" s="2">
        <v>8773</v>
      </c>
      <c r="G225" s="2">
        <v>3.5000000000000003E-2</v>
      </c>
      <c r="H225" s="2">
        <v>21</v>
      </c>
      <c r="I225" s="2">
        <v>84.4</v>
      </c>
      <c r="J225" s="2">
        <v>6.68</v>
      </c>
      <c r="K225" s="2">
        <v>0</v>
      </c>
      <c r="L225" s="2">
        <v>3.6</v>
      </c>
      <c r="M225" s="2">
        <v>723531.4</v>
      </c>
      <c r="N225" s="2">
        <v>108794.85</v>
      </c>
    </row>
    <row r="226" spans="1:14">
      <c r="A226" s="2" t="s">
        <v>78</v>
      </c>
      <c r="B226" s="3">
        <v>45658</v>
      </c>
      <c r="C226" s="2" t="s">
        <v>15</v>
      </c>
      <c r="D226" s="2" t="s">
        <v>28</v>
      </c>
      <c r="E226" s="2">
        <v>68212.289999999994</v>
      </c>
      <c r="F226" s="2">
        <v>4713</v>
      </c>
      <c r="G226" s="2">
        <v>0.19800000000000001</v>
      </c>
      <c r="H226" s="2">
        <v>15</v>
      </c>
      <c r="I226" s="2">
        <v>82.6</v>
      </c>
      <c r="J226" s="2">
        <v>4.07</v>
      </c>
      <c r="K226" s="2">
        <v>1</v>
      </c>
      <c r="L226" s="2">
        <v>3</v>
      </c>
      <c r="M226" s="2">
        <v>641564.6</v>
      </c>
      <c r="N226" s="2">
        <v>90468.96</v>
      </c>
    </row>
    <row r="227" spans="1:14">
      <c r="A227" s="2" t="s">
        <v>78</v>
      </c>
      <c r="B227" s="3">
        <v>45689</v>
      </c>
      <c r="C227" s="2" t="s">
        <v>15</v>
      </c>
      <c r="D227" s="2" t="s">
        <v>28</v>
      </c>
      <c r="E227" s="2">
        <v>57225.98</v>
      </c>
      <c r="F227" s="2">
        <v>2842</v>
      </c>
      <c r="G227" s="2">
        <v>0.112</v>
      </c>
      <c r="H227" s="2">
        <v>10</v>
      </c>
      <c r="I227" s="2">
        <v>79.5</v>
      </c>
      <c r="J227" s="2">
        <v>5.45</v>
      </c>
      <c r="K227" s="2">
        <v>0</v>
      </c>
      <c r="L227" s="2">
        <v>3.4</v>
      </c>
      <c r="M227" s="2">
        <v>536545.49</v>
      </c>
      <c r="N227" s="2">
        <v>97917.45</v>
      </c>
    </row>
    <row r="228" spans="1:14">
      <c r="A228" s="2" t="s">
        <v>78</v>
      </c>
      <c r="B228" s="3">
        <v>45717</v>
      </c>
      <c r="C228" s="2" t="s">
        <v>15</v>
      </c>
      <c r="D228" s="2" t="s">
        <v>28</v>
      </c>
      <c r="E228" s="2">
        <v>42932.02</v>
      </c>
      <c r="F228" s="2">
        <v>3872</v>
      </c>
      <c r="G228" s="2">
        <v>0.17100000000000001</v>
      </c>
      <c r="H228" s="2">
        <v>12</v>
      </c>
      <c r="I228" s="2">
        <v>83.2</v>
      </c>
      <c r="J228" s="2">
        <v>15.58</v>
      </c>
      <c r="K228" s="2">
        <v>0</v>
      </c>
      <c r="L228" s="2">
        <v>3.3</v>
      </c>
      <c r="M228" s="2">
        <v>527681.56000000006</v>
      </c>
      <c r="N228" s="2">
        <v>63153.05</v>
      </c>
    </row>
    <row r="229" spans="1:14">
      <c r="A229" s="2" t="s">
        <v>78</v>
      </c>
      <c r="B229" s="3">
        <v>45748</v>
      </c>
      <c r="C229" s="2" t="s">
        <v>15</v>
      </c>
      <c r="D229" s="2" t="s">
        <v>28</v>
      </c>
      <c r="E229" s="2">
        <v>39341.449999999997</v>
      </c>
      <c r="F229" s="2">
        <v>1375</v>
      </c>
      <c r="G229" s="2">
        <v>9.2999999999999999E-2</v>
      </c>
      <c r="H229" s="2">
        <v>5</v>
      </c>
      <c r="I229" s="2">
        <v>95</v>
      </c>
      <c r="J229" s="2">
        <v>5.32</v>
      </c>
      <c r="K229" s="2">
        <v>0</v>
      </c>
      <c r="L229" s="2"/>
      <c r="M229" s="2">
        <v>529598.93999999994</v>
      </c>
      <c r="N229" s="2">
        <v>84334.33</v>
      </c>
    </row>
    <row r="230" spans="1:14">
      <c r="A230" s="2" t="s">
        <v>79</v>
      </c>
      <c r="B230" s="3">
        <v>45658</v>
      </c>
      <c r="C230" s="2" t="s">
        <v>15</v>
      </c>
      <c r="D230" s="2" t="s">
        <v>18</v>
      </c>
      <c r="E230" s="2">
        <v>37324.230000000003</v>
      </c>
      <c r="F230" s="2">
        <v>5957</v>
      </c>
      <c r="G230" s="2">
        <v>7.0999999999999994E-2</v>
      </c>
      <c r="H230" s="2">
        <v>12</v>
      </c>
      <c r="I230" s="2">
        <v>85.9</v>
      </c>
      <c r="J230" s="2">
        <v>0.37</v>
      </c>
      <c r="K230" s="2">
        <v>0</v>
      </c>
      <c r="L230" s="2">
        <v>3.8</v>
      </c>
      <c r="M230" s="2">
        <v>570963.31000000006</v>
      </c>
      <c r="N230" s="2">
        <v>87342.25</v>
      </c>
    </row>
    <row r="231" spans="1:14">
      <c r="A231" s="2" t="s">
        <v>79</v>
      </c>
      <c r="B231" s="3">
        <v>45689</v>
      </c>
      <c r="C231" s="2" t="s">
        <v>15</v>
      </c>
      <c r="D231" s="2" t="s">
        <v>18</v>
      </c>
      <c r="E231" s="2">
        <v>113736</v>
      </c>
      <c r="F231" s="2">
        <v>8961</v>
      </c>
      <c r="G231" s="2">
        <v>0.20200000000000001</v>
      </c>
      <c r="H231" s="2">
        <v>24</v>
      </c>
      <c r="I231" s="2">
        <v>86.2</v>
      </c>
      <c r="J231" s="2">
        <v>21.63</v>
      </c>
      <c r="K231" s="2">
        <v>0</v>
      </c>
      <c r="L231" s="2">
        <v>4</v>
      </c>
      <c r="M231" s="2">
        <v>870937.4</v>
      </c>
      <c r="N231" s="2">
        <v>175282.74</v>
      </c>
    </row>
    <row r="232" spans="1:14">
      <c r="A232" s="2" t="s">
        <v>79</v>
      </c>
      <c r="B232" s="3">
        <v>45717</v>
      </c>
      <c r="C232" s="2" t="s">
        <v>15</v>
      </c>
      <c r="D232" s="2" t="s">
        <v>18</v>
      </c>
      <c r="E232" s="2">
        <v>33173.949999999997</v>
      </c>
      <c r="F232" s="2">
        <v>6545</v>
      </c>
      <c r="G232" s="2">
        <v>0.16900000000000001</v>
      </c>
      <c r="H232" s="2">
        <v>15</v>
      </c>
      <c r="I232" s="2">
        <v>84.4</v>
      </c>
      <c r="J232" s="2">
        <v>2.48</v>
      </c>
      <c r="K232" s="2">
        <v>0</v>
      </c>
      <c r="L232" s="2">
        <v>3.9</v>
      </c>
      <c r="M232" s="2">
        <v>596969.27</v>
      </c>
      <c r="N232" s="2">
        <v>105669.51</v>
      </c>
    </row>
    <row r="233" spans="1:14">
      <c r="A233" s="2" t="s">
        <v>79</v>
      </c>
      <c r="B233" s="3">
        <v>45748</v>
      </c>
      <c r="C233" s="2" t="s">
        <v>15</v>
      </c>
      <c r="D233" s="2" t="s">
        <v>18</v>
      </c>
      <c r="E233" s="2">
        <v>25818.080000000002</v>
      </c>
      <c r="F233" s="2">
        <v>5457</v>
      </c>
      <c r="G233" s="2">
        <v>0</v>
      </c>
      <c r="H233" s="2">
        <v>11</v>
      </c>
      <c r="I233" s="2">
        <v>95.4</v>
      </c>
      <c r="J233" s="2"/>
      <c r="K233" s="2">
        <v>0</v>
      </c>
      <c r="L233" s="2">
        <v>3.7</v>
      </c>
      <c r="M233" s="2">
        <v>647512.85</v>
      </c>
      <c r="N233" s="2">
        <v>153835.57</v>
      </c>
    </row>
    <row r="234" spans="1:14">
      <c r="A234" s="2" t="s">
        <v>80</v>
      </c>
      <c r="B234" s="3">
        <v>45658</v>
      </c>
      <c r="C234" s="2" t="s">
        <v>27</v>
      </c>
      <c r="D234" s="2" t="s">
        <v>16</v>
      </c>
      <c r="E234" s="2">
        <v>47241.919999999998</v>
      </c>
      <c r="F234" s="2">
        <v>4264</v>
      </c>
      <c r="G234" s="2">
        <v>6.9000000000000006E-2</v>
      </c>
      <c r="H234" s="2">
        <v>13</v>
      </c>
      <c r="I234" s="2">
        <v>95.3</v>
      </c>
      <c r="J234" s="2">
        <v>0.85</v>
      </c>
      <c r="K234" s="2">
        <v>0</v>
      </c>
      <c r="L234" s="2">
        <v>4.3</v>
      </c>
      <c r="M234" s="2">
        <v>658072.14</v>
      </c>
      <c r="N234" s="2">
        <v>110595.89</v>
      </c>
    </row>
    <row r="235" spans="1:14">
      <c r="A235" s="2" t="s">
        <v>80</v>
      </c>
      <c r="B235" s="3">
        <v>45689</v>
      </c>
      <c r="C235" s="2" t="s">
        <v>27</v>
      </c>
      <c r="D235" s="2" t="s">
        <v>16</v>
      </c>
      <c r="E235" s="2">
        <v>61650.79</v>
      </c>
      <c r="F235" s="2">
        <v>5321</v>
      </c>
      <c r="G235" s="2">
        <v>0.126</v>
      </c>
      <c r="H235" s="2">
        <v>17</v>
      </c>
      <c r="I235" s="2">
        <v>89.2</v>
      </c>
      <c r="J235" s="2">
        <v>2.13</v>
      </c>
      <c r="K235" s="2">
        <v>0</v>
      </c>
      <c r="L235" s="2">
        <v>4</v>
      </c>
      <c r="M235" s="2">
        <v>723305.11</v>
      </c>
      <c r="N235" s="2">
        <v>128468.7</v>
      </c>
    </row>
    <row r="236" spans="1:14">
      <c r="A236" s="2" t="s">
        <v>80</v>
      </c>
      <c r="B236" s="3">
        <v>45717</v>
      </c>
      <c r="C236" s="2" t="s">
        <v>27</v>
      </c>
      <c r="D236" s="2" t="s">
        <v>16</v>
      </c>
      <c r="E236" s="2">
        <v>62582.71</v>
      </c>
      <c r="F236" s="2">
        <v>5479</v>
      </c>
      <c r="G236" s="2">
        <v>4.8000000000000001E-2</v>
      </c>
      <c r="H236" s="2">
        <v>16</v>
      </c>
      <c r="I236" s="2">
        <v>81.2</v>
      </c>
      <c r="J236" s="2">
        <v>1.46</v>
      </c>
      <c r="K236" s="2">
        <v>0</v>
      </c>
      <c r="L236" s="2">
        <v>4.5</v>
      </c>
      <c r="M236" s="2">
        <v>640666.53</v>
      </c>
      <c r="N236" s="2">
        <v>134919.16</v>
      </c>
    </row>
    <row r="237" spans="1:14">
      <c r="A237" s="2" t="s">
        <v>80</v>
      </c>
      <c r="B237" s="3">
        <v>45748</v>
      </c>
      <c r="C237" s="2" t="s">
        <v>27</v>
      </c>
      <c r="D237" s="2" t="s">
        <v>16</v>
      </c>
      <c r="E237" s="2">
        <v>47944.14</v>
      </c>
      <c r="F237" s="2">
        <v>6169</v>
      </c>
      <c r="G237" s="2">
        <v>0.11899999999999999</v>
      </c>
      <c r="H237" s="2">
        <v>17</v>
      </c>
      <c r="I237" s="2">
        <v>92.2</v>
      </c>
      <c r="J237" s="2">
        <v>3.02</v>
      </c>
      <c r="K237" s="2">
        <v>0</v>
      </c>
      <c r="L237" s="2">
        <v>4.0999999999999996</v>
      </c>
      <c r="M237" s="2">
        <v>670629.48</v>
      </c>
      <c r="N237" s="2">
        <v>100140.8</v>
      </c>
    </row>
    <row r="238" spans="1:14">
      <c r="A238" s="2" t="s">
        <v>81</v>
      </c>
      <c r="B238" s="3">
        <v>45658</v>
      </c>
      <c r="C238" s="2" t="s">
        <v>27</v>
      </c>
      <c r="D238" s="2" t="s">
        <v>28</v>
      </c>
      <c r="E238" s="2">
        <v>46495.4</v>
      </c>
      <c r="F238" s="2">
        <v>9908</v>
      </c>
      <c r="G238" s="2">
        <v>0.121</v>
      </c>
      <c r="H238" s="2">
        <v>22</v>
      </c>
      <c r="I238" s="2">
        <v>89.4</v>
      </c>
      <c r="J238" s="2">
        <v>3.22</v>
      </c>
      <c r="K238" s="2">
        <v>0</v>
      </c>
      <c r="L238" s="2">
        <v>3.7</v>
      </c>
      <c r="M238" s="2">
        <v>721079.35</v>
      </c>
      <c r="N238" s="2">
        <v>115295.05</v>
      </c>
    </row>
    <row r="239" spans="1:14">
      <c r="A239" s="2" t="s">
        <v>81</v>
      </c>
      <c r="B239" s="3">
        <v>45689</v>
      </c>
      <c r="C239" s="2" t="s">
        <v>27</v>
      </c>
      <c r="D239" s="2" t="s">
        <v>28</v>
      </c>
      <c r="E239" s="2">
        <v>72961.95</v>
      </c>
      <c r="F239" s="2">
        <v>9996</v>
      </c>
      <c r="G239" s="2">
        <v>0.106</v>
      </c>
      <c r="H239" s="2">
        <v>22</v>
      </c>
      <c r="I239" s="2">
        <v>89.1</v>
      </c>
      <c r="J239" s="2">
        <v>15.66</v>
      </c>
      <c r="K239" s="2">
        <v>0</v>
      </c>
      <c r="L239" s="2">
        <v>3.4</v>
      </c>
      <c r="M239" s="2">
        <v>810355.02</v>
      </c>
      <c r="N239" s="2">
        <v>131510</v>
      </c>
    </row>
    <row r="240" spans="1:14">
      <c r="A240" s="2" t="s">
        <v>81</v>
      </c>
      <c r="B240" s="3">
        <v>45717</v>
      </c>
      <c r="C240" s="2" t="s">
        <v>27</v>
      </c>
      <c r="D240" s="2" t="s">
        <v>28</v>
      </c>
      <c r="E240" s="2">
        <v>59060.05</v>
      </c>
      <c r="F240" s="2">
        <v>9702</v>
      </c>
      <c r="G240" s="2">
        <v>0.20100000000000001</v>
      </c>
      <c r="H240" s="2">
        <v>23</v>
      </c>
      <c r="I240" s="2">
        <v>80.900000000000006</v>
      </c>
      <c r="J240" s="2">
        <v>6.96</v>
      </c>
      <c r="K240" s="2">
        <v>0</v>
      </c>
      <c r="L240" s="2">
        <v>3.2</v>
      </c>
      <c r="M240" s="2">
        <v>761919.25</v>
      </c>
      <c r="N240" s="2">
        <v>111893.06</v>
      </c>
    </row>
    <row r="241" spans="1:14">
      <c r="A241" s="2" t="s">
        <v>81</v>
      </c>
      <c r="B241" s="3">
        <v>45748</v>
      </c>
      <c r="C241" s="2" t="s">
        <v>27</v>
      </c>
      <c r="D241" s="2" t="s">
        <v>28</v>
      </c>
      <c r="E241" s="2">
        <v>26248.1</v>
      </c>
      <c r="F241" s="2">
        <v>9314</v>
      </c>
      <c r="G241" s="2">
        <v>0.186</v>
      </c>
      <c r="H241" s="2">
        <v>21</v>
      </c>
      <c r="I241" s="2">
        <v>83.7</v>
      </c>
      <c r="J241" s="2">
        <v>4.62</v>
      </c>
      <c r="K241" s="2">
        <v>0</v>
      </c>
      <c r="L241" s="2">
        <v>3.3</v>
      </c>
      <c r="M241" s="2">
        <v>737070.18</v>
      </c>
      <c r="N241" s="2">
        <v>117593.97</v>
      </c>
    </row>
    <row r="242" spans="1:14">
      <c r="A242" s="2" t="s">
        <v>82</v>
      </c>
      <c r="B242" s="3">
        <v>45658</v>
      </c>
      <c r="C242" s="2" t="s">
        <v>24</v>
      </c>
      <c r="D242" s="2" t="s">
        <v>21</v>
      </c>
      <c r="E242" s="2">
        <v>69900.12</v>
      </c>
      <c r="F242" s="2">
        <v>8055</v>
      </c>
      <c r="G242" s="2">
        <v>0.28100000000000003</v>
      </c>
      <c r="H242" s="2">
        <v>22</v>
      </c>
      <c r="I242" s="2">
        <v>85.6</v>
      </c>
      <c r="J242" s="2">
        <v>10.68</v>
      </c>
      <c r="K242" s="2">
        <v>1</v>
      </c>
      <c r="L242" s="2">
        <v>2.9</v>
      </c>
      <c r="M242" s="2">
        <v>776992.93</v>
      </c>
      <c r="N242" s="2">
        <v>101598.32</v>
      </c>
    </row>
    <row r="243" spans="1:14">
      <c r="A243" s="2" t="s">
        <v>82</v>
      </c>
      <c r="B243" s="3">
        <v>45689</v>
      </c>
      <c r="C243" s="2" t="s">
        <v>24</v>
      </c>
      <c r="D243" s="2" t="s">
        <v>21</v>
      </c>
      <c r="E243" s="2">
        <v>51781.599999999999</v>
      </c>
      <c r="F243" s="2">
        <v>5648</v>
      </c>
      <c r="G243" s="2">
        <v>5.8999999999999997E-2</v>
      </c>
      <c r="H243" s="2">
        <v>13</v>
      </c>
      <c r="I243" s="2">
        <v>85.5</v>
      </c>
      <c r="J243" s="2">
        <v>4.04</v>
      </c>
      <c r="K243" s="2">
        <v>0</v>
      </c>
      <c r="L243" s="2">
        <v>3.7</v>
      </c>
      <c r="M243" s="2">
        <v>676337.41</v>
      </c>
      <c r="N243" s="2">
        <v>104355.77</v>
      </c>
    </row>
    <row r="244" spans="1:14">
      <c r="A244" s="2" t="s">
        <v>82</v>
      </c>
      <c r="B244" s="3">
        <v>45717</v>
      </c>
      <c r="C244" s="2" t="s">
        <v>24</v>
      </c>
      <c r="D244" s="2" t="s">
        <v>21</v>
      </c>
      <c r="E244" s="2">
        <v>70799.64</v>
      </c>
      <c r="F244" s="2">
        <v>10076</v>
      </c>
      <c r="G244" s="2">
        <v>0.152</v>
      </c>
      <c r="H244" s="2">
        <v>24</v>
      </c>
      <c r="I244" s="2">
        <v>84.8</v>
      </c>
      <c r="J244" s="2">
        <v>1.87</v>
      </c>
      <c r="K244" s="2">
        <v>0</v>
      </c>
      <c r="L244" s="2">
        <v>3.5</v>
      </c>
      <c r="M244" s="2">
        <v>828219.67</v>
      </c>
      <c r="N244" s="2">
        <v>179806.87</v>
      </c>
    </row>
    <row r="245" spans="1:14">
      <c r="A245" s="2" t="s">
        <v>82</v>
      </c>
      <c r="B245" s="3">
        <v>45748</v>
      </c>
      <c r="C245" s="2" t="s">
        <v>24</v>
      </c>
      <c r="D245" s="2" t="s">
        <v>21</v>
      </c>
      <c r="E245" s="2">
        <v>53546.34</v>
      </c>
      <c r="F245" s="2">
        <v>8004</v>
      </c>
      <c r="G245" s="2">
        <v>0</v>
      </c>
      <c r="H245" s="2">
        <v>21</v>
      </c>
      <c r="I245" s="2">
        <v>95.2</v>
      </c>
      <c r="J245" s="2">
        <v>2.83</v>
      </c>
      <c r="K245" s="2">
        <v>0</v>
      </c>
      <c r="L245" s="2">
        <v>3</v>
      </c>
      <c r="M245" s="2">
        <v>763159.92</v>
      </c>
      <c r="N245" s="2">
        <v>177104.87</v>
      </c>
    </row>
    <row r="246" spans="1:14">
      <c r="A246" s="2" t="s">
        <v>83</v>
      </c>
      <c r="B246" s="3">
        <v>45658</v>
      </c>
      <c r="C246" s="2" t="s">
        <v>15</v>
      </c>
      <c r="D246" s="2" t="s">
        <v>18</v>
      </c>
      <c r="E246" s="2">
        <v>76942.2</v>
      </c>
      <c r="F246" s="2">
        <v>8934</v>
      </c>
      <c r="G246" s="2">
        <v>8.4000000000000005E-2</v>
      </c>
      <c r="H246" s="2">
        <v>20</v>
      </c>
      <c r="I246" s="2">
        <v>91</v>
      </c>
      <c r="J246" s="2">
        <v>0.95</v>
      </c>
      <c r="K246" s="2">
        <v>0</v>
      </c>
      <c r="L246" s="2">
        <v>3.2</v>
      </c>
      <c r="M246" s="2">
        <v>802001.68</v>
      </c>
      <c r="N246" s="2">
        <v>159715.82</v>
      </c>
    </row>
    <row r="247" spans="1:14">
      <c r="A247" s="2" t="s">
        <v>83</v>
      </c>
      <c r="B247" s="3">
        <v>45689</v>
      </c>
      <c r="C247" s="2" t="s">
        <v>15</v>
      </c>
      <c r="D247" s="2" t="s">
        <v>18</v>
      </c>
      <c r="E247" s="2">
        <v>48060.78</v>
      </c>
      <c r="F247" s="2">
        <v>8733</v>
      </c>
      <c r="G247" s="2">
        <v>0</v>
      </c>
      <c r="H247" s="2">
        <v>20</v>
      </c>
      <c r="I247" s="2">
        <v>89.9</v>
      </c>
      <c r="J247" s="2">
        <v>0.8</v>
      </c>
      <c r="K247" s="2">
        <v>0</v>
      </c>
      <c r="L247" s="2">
        <v>3.4</v>
      </c>
      <c r="M247" s="2">
        <v>750471.34</v>
      </c>
      <c r="N247" s="2">
        <v>133788.04</v>
      </c>
    </row>
    <row r="248" spans="1:14">
      <c r="A248" s="2" t="s">
        <v>83</v>
      </c>
      <c r="B248" s="3">
        <v>45717</v>
      </c>
      <c r="C248" s="2" t="s">
        <v>15</v>
      </c>
      <c r="D248" s="2" t="s">
        <v>18</v>
      </c>
      <c r="E248" s="2">
        <v>57390.04</v>
      </c>
      <c r="F248" s="2">
        <v>7374</v>
      </c>
      <c r="G248" s="2">
        <v>0.21</v>
      </c>
      <c r="H248" s="2">
        <v>21</v>
      </c>
      <c r="I248" s="2">
        <v>91.8</v>
      </c>
      <c r="J248" s="2">
        <v>0.2</v>
      </c>
      <c r="K248" s="2">
        <v>0</v>
      </c>
      <c r="L248" s="2">
        <v>3.1</v>
      </c>
      <c r="M248" s="2">
        <v>679230.86</v>
      </c>
      <c r="N248" s="2">
        <v>106927.58</v>
      </c>
    </row>
    <row r="249" spans="1:14">
      <c r="A249" s="2" t="s">
        <v>83</v>
      </c>
      <c r="B249" s="3">
        <v>45748</v>
      </c>
      <c r="C249" s="2" t="s">
        <v>15</v>
      </c>
      <c r="D249" s="2" t="s">
        <v>18</v>
      </c>
      <c r="E249" s="2">
        <v>21536.18</v>
      </c>
      <c r="F249" s="2">
        <v>8119</v>
      </c>
      <c r="G249" s="2">
        <v>0.22700000000000001</v>
      </c>
      <c r="H249" s="2">
        <v>20</v>
      </c>
      <c r="I249" s="2">
        <v>90.4</v>
      </c>
      <c r="J249" s="2">
        <v>1.7</v>
      </c>
      <c r="K249" s="2">
        <v>0</v>
      </c>
      <c r="L249" s="2">
        <v>3.3</v>
      </c>
      <c r="M249" s="2">
        <v>679888.74</v>
      </c>
      <c r="N249" s="2">
        <v>83406.89</v>
      </c>
    </row>
    <row r="250" spans="1:14">
      <c r="A250" s="2" t="s">
        <v>84</v>
      </c>
      <c r="B250" s="3">
        <v>45658</v>
      </c>
      <c r="C250" s="2" t="s">
        <v>20</v>
      </c>
      <c r="D250" s="2" t="s">
        <v>18</v>
      </c>
      <c r="E250" s="2">
        <v>40923.67</v>
      </c>
      <c r="F250" s="2">
        <v>3875</v>
      </c>
      <c r="G250" s="2">
        <v>0.15</v>
      </c>
      <c r="H250" s="2">
        <v>10</v>
      </c>
      <c r="I250" s="2">
        <v>96.1</v>
      </c>
      <c r="J250" s="2"/>
      <c r="K250" s="2">
        <v>0</v>
      </c>
      <c r="L250" s="2">
        <v>3.8</v>
      </c>
      <c r="M250" s="2">
        <v>606783.67000000004</v>
      </c>
      <c r="N250" s="2">
        <v>74515.87</v>
      </c>
    </row>
    <row r="251" spans="1:14">
      <c r="A251" s="2" t="s">
        <v>84</v>
      </c>
      <c r="B251" s="3">
        <v>45689</v>
      </c>
      <c r="C251" s="2" t="s">
        <v>20</v>
      </c>
      <c r="D251" s="2" t="s">
        <v>18</v>
      </c>
      <c r="E251" s="2">
        <v>72932.55</v>
      </c>
      <c r="F251" s="2">
        <v>5765</v>
      </c>
      <c r="G251" s="2">
        <v>2.5999999999999999E-2</v>
      </c>
      <c r="H251" s="2">
        <v>17</v>
      </c>
      <c r="I251" s="2">
        <v>81.8</v>
      </c>
      <c r="J251" s="2">
        <v>5.0999999999999996</v>
      </c>
      <c r="K251" s="2">
        <v>0</v>
      </c>
      <c r="L251" s="2">
        <v>3.6</v>
      </c>
      <c r="M251" s="2">
        <v>642751.42000000004</v>
      </c>
      <c r="N251" s="2">
        <v>131942.15</v>
      </c>
    </row>
    <row r="252" spans="1:14">
      <c r="A252" s="2" t="s">
        <v>84</v>
      </c>
      <c r="B252" s="3">
        <v>45717</v>
      </c>
      <c r="C252" s="2" t="s">
        <v>20</v>
      </c>
      <c r="D252" s="2" t="s">
        <v>18</v>
      </c>
      <c r="E252" s="2">
        <v>38361.93</v>
      </c>
      <c r="F252" s="2">
        <v>6322</v>
      </c>
      <c r="G252" s="2">
        <v>0.27300000000000002</v>
      </c>
      <c r="H252" s="2">
        <v>15</v>
      </c>
      <c r="I252" s="2">
        <v>88.4</v>
      </c>
      <c r="J252" s="2">
        <v>0.83</v>
      </c>
      <c r="K252" s="2">
        <v>0</v>
      </c>
      <c r="L252" s="2">
        <v>4</v>
      </c>
      <c r="M252" s="2">
        <v>647953.78</v>
      </c>
      <c r="N252" s="2">
        <v>118497.43</v>
      </c>
    </row>
    <row r="253" spans="1:14">
      <c r="A253" s="2" t="s">
        <v>84</v>
      </c>
      <c r="B253" s="3">
        <v>45748</v>
      </c>
      <c r="C253" s="2" t="s">
        <v>20</v>
      </c>
      <c r="D253" s="2" t="s">
        <v>18</v>
      </c>
      <c r="E253" s="2">
        <v>97480.94</v>
      </c>
      <c r="F253" s="2">
        <v>6840</v>
      </c>
      <c r="G253" s="2">
        <v>8.6999999999999994E-2</v>
      </c>
      <c r="H253" s="2">
        <v>14</v>
      </c>
      <c r="I253" s="2">
        <v>79.2</v>
      </c>
      <c r="J253" s="2">
        <v>1.1399999999999999</v>
      </c>
      <c r="K253" s="2">
        <v>0</v>
      </c>
      <c r="L253" s="2">
        <v>4</v>
      </c>
      <c r="M253" s="2">
        <v>729440.45</v>
      </c>
      <c r="N253" s="2">
        <v>87614.29</v>
      </c>
    </row>
    <row r="254" spans="1:14">
      <c r="A254" s="2" t="s">
        <v>85</v>
      </c>
      <c r="B254" s="3">
        <v>45658</v>
      </c>
      <c r="C254" s="2" t="s">
        <v>24</v>
      </c>
      <c r="D254" s="2" t="s">
        <v>21</v>
      </c>
      <c r="E254" s="2">
        <v>81801.8</v>
      </c>
      <c r="F254" s="2">
        <v>6782</v>
      </c>
      <c r="G254" s="2">
        <v>0.05</v>
      </c>
      <c r="H254" s="2">
        <v>16</v>
      </c>
      <c r="I254" s="2">
        <v>99</v>
      </c>
      <c r="J254" s="2">
        <v>9.5399999999999991</v>
      </c>
      <c r="K254" s="2">
        <v>0</v>
      </c>
      <c r="L254" s="2">
        <v>3.7</v>
      </c>
      <c r="M254" s="2">
        <v>764949</v>
      </c>
      <c r="N254" s="2">
        <v>148322.43</v>
      </c>
    </row>
    <row r="255" spans="1:14">
      <c r="A255" s="2" t="s">
        <v>85</v>
      </c>
      <c r="B255" s="3">
        <v>45689</v>
      </c>
      <c r="C255" s="2" t="s">
        <v>24</v>
      </c>
      <c r="D255" s="2" t="s">
        <v>21</v>
      </c>
      <c r="E255" s="2">
        <v>63582.11</v>
      </c>
      <c r="F255" s="2">
        <v>6856</v>
      </c>
      <c r="G255" s="2">
        <v>7.3999999999999996E-2</v>
      </c>
      <c r="H255" s="2">
        <v>17</v>
      </c>
      <c r="I255" s="2">
        <v>89.5</v>
      </c>
      <c r="J255" s="2">
        <v>5.48</v>
      </c>
      <c r="K255" s="2">
        <v>0</v>
      </c>
      <c r="L255" s="2">
        <v>3.2</v>
      </c>
      <c r="M255" s="2">
        <v>799046.94</v>
      </c>
      <c r="N255" s="2">
        <v>144553.64000000001</v>
      </c>
    </row>
    <row r="256" spans="1:14">
      <c r="A256" s="2" t="s">
        <v>85</v>
      </c>
      <c r="B256" s="3">
        <v>45717</v>
      </c>
      <c r="C256" s="2" t="s">
        <v>24</v>
      </c>
      <c r="D256" s="2" t="s">
        <v>21</v>
      </c>
      <c r="E256" s="2">
        <v>75412.740000000005</v>
      </c>
      <c r="F256" s="2">
        <v>5641</v>
      </c>
      <c r="G256" s="2">
        <v>5.8999999999999997E-2</v>
      </c>
      <c r="H256" s="2">
        <v>13</v>
      </c>
      <c r="I256" s="2">
        <v>87.9</v>
      </c>
      <c r="J256" s="2">
        <v>0.84</v>
      </c>
      <c r="K256" s="2">
        <v>0</v>
      </c>
      <c r="L256" s="2">
        <v>3.6</v>
      </c>
      <c r="M256" s="2">
        <v>720079.54</v>
      </c>
      <c r="N256" s="2">
        <v>119499.47</v>
      </c>
    </row>
    <row r="257" spans="1:14">
      <c r="A257" s="2" t="s">
        <v>85</v>
      </c>
      <c r="B257" s="3">
        <v>45748</v>
      </c>
      <c r="C257" s="2" t="s">
        <v>24</v>
      </c>
      <c r="D257" s="2" t="s">
        <v>21</v>
      </c>
      <c r="E257" s="2">
        <v>36290.080000000002</v>
      </c>
      <c r="F257" s="2">
        <v>5787</v>
      </c>
      <c r="G257" s="2">
        <v>0</v>
      </c>
      <c r="H257" s="2">
        <v>17</v>
      </c>
      <c r="I257" s="2">
        <v>88.3</v>
      </c>
      <c r="J257" s="2">
        <v>4.1900000000000004</v>
      </c>
      <c r="K257" s="2">
        <v>0</v>
      </c>
      <c r="L257" s="2">
        <v>4.0999999999999996</v>
      </c>
      <c r="M257" s="2">
        <v>612390.14</v>
      </c>
      <c r="N257" s="2">
        <v>108985.74</v>
      </c>
    </row>
    <row r="258" spans="1:14">
      <c r="A258" s="2" t="s">
        <v>86</v>
      </c>
      <c r="B258" s="3">
        <v>45658</v>
      </c>
      <c r="C258" s="2" t="s">
        <v>24</v>
      </c>
      <c r="D258" s="2" t="s">
        <v>28</v>
      </c>
      <c r="E258" s="2">
        <v>65272.58</v>
      </c>
      <c r="F258" s="2">
        <v>8165</v>
      </c>
      <c r="G258" s="2">
        <v>5.0999999999999997E-2</v>
      </c>
      <c r="H258" s="2">
        <v>19</v>
      </c>
      <c r="I258" s="2">
        <v>87.8</v>
      </c>
      <c r="J258" s="2">
        <v>1.26</v>
      </c>
      <c r="K258" s="2">
        <v>1</v>
      </c>
      <c r="L258" s="2">
        <v>4.3</v>
      </c>
      <c r="M258" s="2">
        <v>840108.12</v>
      </c>
      <c r="N258" s="2">
        <v>126587.01</v>
      </c>
    </row>
    <row r="259" spans="1:14">
      <c r="A259" s="2" t="s">
        <v>86</v>
      </c>
      <c r="B259" s="3">
        <v>45689</v>
      </c>
      <c r="C259" s="2" t="s">
        <v>24</v>
      </c>
      <c r="D259" s="2" t="s">
        <v>28</v>
      </c>
      <c r="E259" s="2">
        <v>28670.43</v>
      </c>
      <c r="F259" s="2">
        <v>7574</v>
      </c>
      <c r="G259" s="2">
        <v>0.114</v>
      </c>
      <c r="H259" s="2">
        <v>19</v>
      </c>
      <c r="I259" s="2">
        <v>82.7</v>
      </c>
      <c r="J259" s="2">
        <v>2.74</v>
      </c>
      <c r="K259" s="2">
        <v>0</v>
      </c>
      <c r="L259" s="2">
        <v>4.5999999999999996</v>
      </c>
      <c r="M259" s="2">
        <v>697888.09</v>
      </c>
      <c r="N259" s="2">
        <v>116249.87</v>
      </c>
    </row>
    <row r="260" spans="1:14">
      <c r="A260" s="2" t="s">
        <v>86</v>
      </c>
      <c r="B260" s="3">
        <v>45717</v>
      </c>
      <c r="C260" s="2" t="s">
        <v>24</v>
      </c>
      <c r="D260" s="2" t="s">
        <v>28</v>
      </c>
      <c r="E260" s="2">
        <v>44189.34</v>
      </c>
      <c r="F260" s="2">
        <v>8634</v>
      </c>
      <c r="G260" s="2">
        <v>0.14299999999999999</v>
      </c>
      <c r="H260" s="2">
        <v>19</v>
      </c>
      <c r="I260" s="2">
        <v>87.5</v>
      </c>
      <c r="J260" s="2">
        <v>3.69</v>
      </c>
      <c r="K260" s="2">
        <v>0</v>
      </c>
      <c r="L260" s="2">
        <v>4.4000000000000004</v>
      </c>
      <c r="M260" s="2">
        <v>746115.59</v>
      </c>
      <c r="N260" s="2">
        <v>94662.96</v>
      </c>
    </row>
    <row r="261" spans="1:14">
      <c r="A261" s="2" t="s">
        <v>86</v>
      </c>
      <c r="B261" s="3">
        <v>45748</v>
      </c>
      <c r="C261" s="2" t="s">
        <v>24</v>
      </c>
      <c r="D261" s="2" t="s">
        <v>28</v>
      </c>
      <c r="E261" s="2">
        <v>38397.82</v>
      </c>
      <c r="F261" s="2">
        <v>7836</v>
      </c>
      <c r="G261" s="2">
        <v>7.0000000000000001E-3</v>
      </c>
      <c r="H261" s="2">
        <v>21</v>
      </c>
      <c r="I261" s="2">
        <v>92.2</v>
      </c>
      <c r="J261" s="2">
        <v>1.82</v>
      </c>
      <c r="K261" s="2">
        <v>0</v>
      </c>
      <c r="L261" s="2">
        <v>3.6</v>
      </c>
      <c r="M261" s="2">
        <v>776110.32</v>
      </c>
      <c r="N261" s="2">
        <v>139676.21</v>
      </c>
    </row>
    <row r="262" spans="1:14">
      <c r="A262" s="2" t="s">
        <v>87</v>
      </c>
      <c r="B262" s="3">
        <v>45658</v>
      </c>
      <c r="C262" s="2" t="s">
        <v>27</v>
      </c>
      <c r="D262" s="2" t="s">
        <v>18</v>
      </c>
      <c r="E262" s="2">
        <v>14519.37</v>
      </c>
      <c r="F262" s="2">
        <v>3047</v>
      </c>
      <c r="G262" s="2">
        <v>0.13500000000000001</v>
      </c>
      <c r="H262" s="2">
        <v>10</v>
      </c>
      <c r="I262" s="2">
        <v>90.3</v>
      </c>
      <c r="J262" s="2">
        <v>6.62</v>
      </c>
      <c r="K262" s="2">
        <v>0</v>
      </c>
      <c r="L262" s="2">
        <v>4.2</v>
      </c>
      <c r="M262" s="2">
        <v>528852.62</v>
      </c>
      <c r="N262" s="2">
        <v>68426.210000000006</v>
      </c>
    </row>
    <row r="263" spans="1:14">
      <c r="A263" s="2" t="s">
        <v>87</v>
      </c>
      <c r="B263" s="3">
        <v>45689</v>
      </c>
      <c r="C263" s="2" t="s">
        <v>27</v>
      </c>
      <c r="D263" s="2" t="s">
        <v>18</v>
      </c>
      <c r="E263" s="2">
        <v>43288.2</v>
      </c>
      <c r="F263" s="2">
        <v>4783</v>
      </c>
      <c r="G263" s="2">
        <v>0.16900000000000001</v>
      </c>
      <c r="H263" s="2">
        <v>13</v>
      </c>
      <c r="I263" s="2">
        <v>87.3</v>
      </c>
      <c r="J263" s="2"/>
      <c r="K263" s="2">
        <v>0</v>
      </c>
      <c r="L263" s="2">
        <v>4.2</v>
      </c>
      <c r="M263" s="2">
        <v>605751.32999999996</v>
      </c>
      <c r="N263" s="2">
        <v>60685.53</v>
      </c>
    </row>
    <row r="264" spans="1:14">
      <c r="A264" s="2" t="s">
        <v>87</v>
      </c>
      <c r="B264" s="3">
        <v>45717</v>
      </c>
      <c r="C264" s="2" t="s">
        <v>27</v>
      </c>
      <c r="D264" s="2" t="s">
        <v>18</v>
      </c>
      <c r="E264" s="2">
        <v>51450.55</v>
      </c>
      <c r="F264" s="2">
        <v>4902</v>
      </c>
      <c r="G264" s="2">
        <v>8.5999999999999993E-2</v>
      </c>
      <c r="H264" s="2">
        <v>11</v>
      </c>
      <c r="I264" s="2">
        <v>83.7</v>
      </c>
      <c r="J264" s="2">
        <v>6.92</v>
      </c>
      <c r="K264" s="2">
        <v>1</v>
      </c>
      <c r="L264" s="2">
        <v>4.2</v>
      </c>
      <c r="M264" s="2">
        <v>677640.65</v>
      </c>
      <c r="N264" s="2">
        <v>111610.89</v>
      </c>
    </row>
    <row r="265" spans="1:14">
      <c r="A265" s="2" t="s">
        <v>87</v>
      </c>
      <c r="B265" s="3">
        <v>45748</v>
      </c>
      <c r="C265" s="2" t="s">
        <v>27</v>
      </c>
      <c r="D265" s="2" t="s">
        <v>18</v>
      </c>
      <c r="E265" s="2">
        <v>58688.26</v>
      </c>
      <c r="F265" s="2">
        <v>4022</v>
      </c>
      <c r="G265" s="2">
        <v>0.217</v>
      </c>
      <c r="H265" s="2">
        <v>12</v>
      </c>
      <c r="I265" s="2">
        <v>93.8</v>
      </c>
      <c r="J265" s="2">
        <v>11.78</v>
      </c>
      <c r="K265" s="2">
        <v>0</v>
      </c>
      <c r="L265" s="2">
        <v>3.7</v>
      </c>
      <c r="M265" s="2">
        <v>636613.23</v>
      </c>
      <c r="N265" s="2">
        <v>78908.350000000006</v>
      </c>
    </row>
    <row r="266" spans="1:14">
      <c r="A266" s="2" t="s">
        <v>88</v>
      </c>
      <c r="B266" s="3">
        <v>45658</v>
      </c>
      <c r="C266" s="2" t="s">
        <v>15</v>
      </c>
      <c r="D266" s="2" t="s">
        <v>18</v>
      </c>
      <c r="E266" s="2">
        <v>58981.91</v>
      </c>
      <c r="F266" s="2">
        <v>7324</v>
      </c>
      <c r="G266" s="2">
        <v>9.4E-2</v>
      </c>
      <c r="H266" s="2">
        <v>15</v>
      </c>
      <c r="I266" s="2">
        <v>95.8</v>
      </c>
      <c r="J266" s="2">
        <v>0.5</v>
      </c>
      <c r="K266" s="2">
        <v>0</v>
      </c>
      <c r="L266" s="2">
        <v>3.5</v>
      </c>
      <c r="M266" s="2">
        <v>708985.19</v>
      </c>
      <c r="N266" s="2">
        <v>125368.16</v>
      </c>
    </row>
    <row r="267" spans="1:14">
      <c r="A267" s="2" t="s">
        <v>88</v>
      </c>
      <c r="B267" s="3">
        <v>45689</v>
      </c>
      <c r="C267" s="2" t="s">
        <v>15</v>
      </c>
      <c r="D267" s="2" t="s">
        <v>18</v>
      </c>
      <c r="E267" s="2">
        <v>73454.539999999994</v>
      </c>
      <c r="F267" s="2">
        <v>8129</v>
      </c>
      <c r="G267" s="2">
        <v>0.21099999999999999</v>
      </c>
      <c r="H267" s="2">
        <v>20</v>
      </c>
      <c r="I267" s="2">
        <v>85.2</v>
      </c>
      <c r="J267" s="2">
        <v>0.88</v>
      </c>
      <c r="K267" s="2">
        <v>0</v>
      </c>
      <c r="L267" s="2">
        <v>3.7</v>
      </c>
      <c r="M267" s="2">
        <v>767792.94</v>
      </c>
      <c r="N267" s="2">
        <v>96235.77</v>
      </c>
    </row>
    <row r="268" spans="1:14">
      <c r="A268" s="2" t="s">
        <v>88</v>
      </c>
      <c r="B268" s="3">
        <v>45717</v>
      </c>
      <c r="C268" s="2" t="s">
        <v>15</v>
      </c>
      <c r="D268" s="2" t="s">
        <v>18</v>
      </c>
      <c r="E268" s="2">
        <v>56602.39</v>
      </c>
      <c r="F268" s="2">
        <v>7969</v>
      </c>
      <c r="G268" s="2">
        <v>0.17</v>
      </c>
      <c r="H268" s="2">
        <v>21</v>
      </c>
      <c r="I268" s="2">
        <v>88.3</v>
      </c>
      <c r="J268" s="2">
        <v>2.25</v>
      </c>
      <c r="K268" s="2">
        <v>0</v>
      </c>
      <c r="L268" s="2">
        <v>3.7</v>
      </c>
      <c r="M268" s="2">
        <v>745580.51</v>
      </c>
      <c r="N268" s="2">
        <v>116273.68</v>
      </c>
    </row>
    <row r="269" spans="1:14">
      <c r="A269" s="2" t="s">
        <v>88</v>
      </c>
      <c r="B269" s="3">
        <v>45748</v>
      </c>
      <c r="C269" s="2" t="s">
        <v>15</v>
      </c>
      <c r="D269" s="2" t="s">
        <v>18</v>
      </c>
      <c r="E269" s="2">
        <v>67722.289999999994</v>
      </c>
      <c r="F269" s="2">
        <v>7240</v>
      </c>
      <c r="G269" s="2">
        <v>2.5999999999999999E-2</v>
      </c>
      <c r="H269" s="2">
        <v>15</v>
      </c>
      <c r="I269" s="2">
        <v>92.9</v>
      </c>
      <c r="J269" s="2">
        <v>0.28999999999999998</v>
      </c>
      <c r="K269" s="2">
        <v>0</v>
      </c>
      <c r="L269" s="2">
        <v>3.5</v>
      </c>
      <c r="M269" s="2">
        <v>762328.31</v>
      </c>
      <c r="N269" s="2">
        <v>159158.19</v>
      </c>
    </row>
    <row r="270" spans="1:14">
      <c r="A270" s="2" t="s">
        <v>89</v>
      </c>
      <c r="B270" s="3">
        <v>45658</v>
      </c>
      <c r="C270" s="2" t="s">
        <v>15</v>
      </c>
      <c r="D270" s="2" t="s">
        <v>28</v>
      </c>
      <c r="E270" s="2">
        <v>48752.92</v>
      </c>
      <c r="F270" s="2">
        <v>8052</v>
      </c>
      <c r="G270" s="2">
        <v>0.106</v>
      </c>
      <c r="H270" s="2">
        <v>16</v>
      </c>
      <c r="I270" s="2">
        <v>94.9</v>
      </c>
      <c r="J270" s="2">
        <v>0.65</v>
      </c>
      <c r="K270" s="2">
        <v>0</v>
      </c>
      <c r="L270" s="2">
        <v>3.6</v>
      </c>
      <c r="M270" s="2">
        <v>660633.99</v>
      </c>
      <c r="N270" s="2">
        <v>118768.66</v>
      </c>
    </row>
    <row r="271" spans="1:14">
      <c r="A271" s="2" t="s">
        <v>89</v>
      </c>
      <c r="B271" s="3">
        <v>45689</v>
      </c>
      <c r="C271" s="2" t="s">
        <v>15</v>
      </c>
      <c r="D271" s="2" t="s">
        <v>28</v>
      </c>
      <c r="E271" s="2">
        <v>23914.97</v>
      </c>
      <c r="F271" s="2">
        <v>8018</v>
      </c>
      <c r="G271" s="2">
        <v>0.13900000000000001</v>
      </c>
      <c r="H271" s="2">
        <v>20</v>
      </c>
      <c r="I271" s="2">
        <v>89</v>
      </c>
      <c r="J271" s="2">
        <v>0.2</v>
      </c>
      <c r="K271" s="2">
        <v>0</v>
      </c>
      <c r="L271" s="2">
        <v>3.5</v>
      </c>
      <c r="M271" s="2">
        <v>739374.56</v>
      </c>
      <c r="N271" s="2">
        <v>121032.29</v>
      </c>
    </row>
    <row r="272" spans="1:14">
      <c r="A272" s="2" t="s">
        <v>89</v>
      </c>
      <c r="B272" s="3">
        <v>45717</v>
      </c>
      <c r="C272" s="2" t="s">
        <v>15</v>
      </c>
      <c r="D272" s="2" t="s">
        <v>28</v>
      </c>
      <c r="E272" s="2">
        <v>61995.3</v>
      </c>
      <c r="F272" s="2">
        <v>10192</v>
      </c>
      <c r="G272" s="2">
        <v>0.19800000000000001</v>
      </c>
      <c r="H272" s="2">
        <v>21</v>
      </c>
      <c r="I272" s="2">
        <v>87.6</v>
      </c>
      <c r="J272" s="2">
        <v>3.63</v>
      </c>
      <c r="K272" s="2">
        <v>1</v>
      </c>
      <c r="L272" s="2">
        <v>3.8</v>
      </c>
      <c r="M272" s="2">
        <v>799756.46</v>
      </c>
      <c r="N272" s="2">
        <v>105052.93</v>
      </c>
    </row>
    <row r="273" spans="1:14">
      <c r="A273" s="2" t="s">
        <v>89</v>
      </c>
      <c r="B273" s="3">
        <v>45748</v>
      </c>
      <c r="C273" s="2" t="s">
        <v>15</v>
      </c>
      <c r="D273" s="2" t="s">
        <v>28</v>
      </c>
      <c r="E273" s="2">
        <v>29344.93</v>
      </c>
      <c r="F273" s="2">
        <v>7446</v>
      </c>
      <c r="G273" s="2">
        <v>0.111</v>
      </c>
      <c r="H273" s="2">
        <v>15</v>
      </c>
      <c r="I273" s="2">
        <v>86.2</v>
      </c>
      <c r="J273" s="2">
        <v>0.2</v>
      </c>
      <c r="K273" s="2">
        <v>0</v>
      </c>
      <c r="L273" s="2">
        <v>3.2</v>
      </c>
      <c r="M273" s="2">
        <v>593343</v>
      </c>
      <c r="N273" s="2">
        <v>82832.240000000005</v>
      </c>
    </row>
    <row r="274" spans="1:14">
      <c r="A274" s="2" t="s">
        <v>90</v>
      </c>
      <c r="B274" s="3">
        <v>45658</v>
      </c>
      <c r="C274" s="2" t="s">
        <v>27</v>
      </c>
      <c r="D274" s="2" t="s">
        <v>18</v>
      </c>
      <c r="E274" s="2">
        <v>50532.17</v>
      </c>
      <c r="F274" s="2">
        <v>5689</v>
      </c>
      <c r="G274" s="2">
        <v>5.1999999999999998E-2</v>
      </c>
      <c r="H274" s="2">
        <v>17</v>
      </c>
      <c r="I274" s="2">
        <v>85.6</v>
      </c>
      <c r="J274" s="2">
        <v>6.23</v>
      </c>
      <c r="K274" s="2">
        <v>0</v>
      </c>
      <c r="L274" s="2">
        <v>3.3</v>
      </c>
      <c r="M274" s="2">
        <v>645039.97</v>
      </c>
      <c r="N274" s="2">
        <v>83093.33</v>
      </c>
    </row>
    <row r="275" spans="1:14">
      <c r="A275" s="2" t="s">
        <v>90</v>
      </c>
      <c r="B275" s="3">
        <v>45689</v>
      </c>
      <c r="C275" s="2" t="s">
        <v>27</v>
      </c>
      <c r="D275" s="2" t="s">
        <v>18</v>
      </c>
      <c r="E275" s="2">
        <v>17562.57</v>
      </c>
      <c r="F275" s="2">
        <v>3326</v>
      </c>
      <c r="G275" s="2">
        <v>0.153</v>
      </c>
      <c r="H275" s="2">
        <v>14</v>
      </c>
      <c r="I275" s="2">
        <v>88.1</v>
      </c>
      <c r="J275" s="2">
        <v>1.04</v>
      </c>
      <c r="K275" s="2">
        <v>0</v>
      </c>
      <c r="L275" s="2">
        <v>3.1</v>
      </c>
      <c r="M275" s="2">
        <v>561597.32999999996</v>
      </c>
      <c r="N275" s="2">
        <v>75072.75</v>
      </c>
    </row>
    <row r="276" spans="1:14">
      <c r="A276" s="2" t="s">
        <v>90</v>
      </c>
      <c r="B276" s="3">
        <v>45717</v>
      </c>
      <c r="C276" s="2" t="s">
        <v>27</v>
      </c>
      <c r="D276" s="2" t="s">
        <v>18</v>
      </c>
      <c r="E276" s="2">
        <v>47648.71</v>
      </c>
      <c r="F276" s="2">
        <v>5767</v>
      </c>
      <c r="G276" s="2">
        <v>0.14099999999999999</v>
      </c>
      <c r="H276" s="2">
        <v>17</v>
      </c>
      <c r="I276" s="2">
        <v>89.8</v>
      </c>
      <c r="J276" s="2">
        <v>1.76</v>
      </c>
      <c r="K276" s="2">
        <v>0</v>
      </c>
      <c r="L276" s="2">
        <v>3.1</v>
      </c>
      <c r="M276" s="2">
        <v>635837.74</v>
      </c>
      <c r="N276" s="2">
        <v>114740.64</v>
      </c>
    </row>
    <row r="277" spans="1:14">
      <c r="A277" s="2" t="s">
        <v>90</v>
      </c>
      <c r="B277" s="3">
        <v>45748</v>
      </c>
      <c r="C277" s="2" t="s">
        <v>27</v>
      </c>
      <c r="D277" s="2" t="s">
        <v>18</v>
      </c>
      <c r="E277" s="2">
        <v>38297.58</v>
      </c>
      <c r="F277" s="2">
        <v>5893</v>
      </c>
      <c r="G277" s="2">
        <v>0.247</v>
      </c>
      <c r="H277" s="2">
        <v>18</v>
      </c>
      <c r="I277" s="2">
        <v>77.599999999999994</v>
      </c>
      <c r="J277" s="2">
        <v>2.86</v>
      </c>
      <c r="K277" s="2">
        <v>0</v>
      </c>
      <c r="L277" s="2">
        <v>3</v>
      </c>
      <c r="M277" s="2">
        <v>686737.87</v>
      </c>
      <c r="N277" s="2">
        <v>83839.67</v>
      </c>
    </row>
    <row r="278" spans="1:14">
      <c r="A278" s="2" t="s">
        <v>91</v>
      </c>
      <c r="B278" s="3">
        <v>45658</v>
      </c>
      <c r="C278" s="2" t="s">
        <v>24</v>
      </c>
      <c r="D278" s="2" t="s">
        <v>16</v>
      </c>
      <c r="E278" s="2">
        <v>61784.11</v>
      </c>
      <c r="F278" s="2">
        <v>8564</v>
      </c>
      <c r="G278" s="2">
        <v>0.13</v>
      </c>
      <c r="H278" s="2">
        <v>17</v>
      </c>
      <c r="I278" s="2">
        <v>87.4</v>
      </c>
      <c r="J278" s="2">
        <v>18.14</v>
      </c>
      <c r="K278" s="2">
        <v>1</v>
      </c>
      <c r="L278" s="2">
        <v>3.4</v>
      </c>
      <c r="M278" s="2">
        <v>673076.34</v>
      </c>
      <c r="N278" s="2">
        <v>93899.76</v>
      </c>
    </row>
    <row r="279" spans="1:14">
      <c r="A279" s="2" t="s">
        <v>91</v>
      </c>
      <c r="B279" s="3">
        <v>45689</v>
      </c>
      <c r="C279" s="2" t="s">
        <v>24</v>
      </c>
      <c r="D279" s="2" t="s">
        <v>16</v>
      </c>
      <c r="E279" s="2">
        <v>36832.33</v>
      </c>
      <c r="F279" s="2">
        <v>8001</v>
      </c>
      <c r="G279" s="2">
        <v>0</v>
      </c>
      <c r="H279" s="2">
        <v>19</v>
      </c>
      <c r="I279" s="2">
        <v>88.7</v>
      </c>
      <c r="J279" s="2">
        <v>3.39</v>
      </c>
      <c r="K279" s="2">
        <v>0</v>
      </c>
      <c r="L279" s="2">
        <v>4</v>
      </c>
      <c r="M279" s="2">
        <v>738548.42</v>
      </c>
      <c r="N279" s="2">
        <v>134282.76999999999</v>
      </c>
    </row>
    <row r="280" spans="1:14">
      <c r="A280" s="2" t="s">
        <v>91</v>
      </c>
      <c r="B280" s="3">
        <v>45717</v>
      </c>
      <c r="C280" s="2" t="s">
        <v>24</v>
      </c>
      <c r="D280" s="2" t="s">
        <v>16</v>
      </c>
      <c r="E280" s="2">
        <v>48609.41</v>
      </c>
      <c r="F280" s="2">
        <v>9324</v>
      </c>
      <c r="G280" s="2">
        <v>0.21299999999999999</v>
      </c>
      <c r="H280" s="2">
        <v>18</v>
      </c>
      <c r="I280" s="2">
        <v>86.5</v>
      </c>
      <c r="J280" s="2">
        <v>1.44</v>
      </c>
      <c r="K280" s="2">
        <v>0</v>
      </c>
      <c r="L280" s="2">
        <v>3.9</v>
      </c>
      <c r="M280" s="2">
        <v>756619.77</v>
      </c>
      <c r="N280" s="2">
        <v>112057.69</v>
      </c>
    </row>
    <row r="281" spans="1:14">
      <c r="A281" s="2" t="s">
        <v>91</v>
      </c>
      <c r="B281" s="3">
        <v>45748</v>
      </c>
      <c r="C281" s="2" t="s">
        <v>24</v>
      </c>
      <c r="D281" s="2" t="s">
        <v>16</v>
      </c>
      <c r="E281" s="2">
        <v>70284.06</v>
      </c>
      <c r="F281" s="2">
        <v>9109</v>
      </c>
      <c r="G281" s="2">
        <v>4.0000000000000001E-3</v>
      </c>
      <c r="H281" s="2">
        <v>23</v>
      </c>
      <c r="I281" s="2">
        <v>87</v>
      </c>
      <c r="J281" s="2">
        <v>3.65</v>
      </c>
      <c r="K281" s="2">
        <v>0</v>
      </c>
      <c r="L281" s="2">
        <v>3.7</v>
      </c>
      <c r="M281" s="2">
        <v>761122.42</v>
      </c>
      <c r="N281" s="2">
        <v>149802.04</v>
      </c>
    </row>
    <row r="282" spans="1:14">
      <c r="A282" s="2" t="s">
        <v>92</v>
      </c>
      <c r="B282" s="3">
        <v>45658</v>
      </c>
      <c r="C282" s="2" t="s">
        <v>24</v>
      </c>
      <c r="D282" s="2" t="s">
        <v>18</v>
      </c>
      <c r="E282" s="2">
        <v>45940.39</v>
      </c>
      <c r="F282" s="2">
        <v>4022</v>
      </c>
      <c r="G282" s="2">
        <v>6.9000000000000006E-2</v>
      </c>
      <c r="H282" s="2">
        <v>10</v>
      </c>
      <c r="I282" s="2">
        <v>83</v>
      </c>
      <c r="J282" s="2">
        <v>1.23</v>
      </c>
      <c r="K282" s="2">
        <v>1</v>
      </c>
      <c r="L282" s="2">
        <v>3.8</v>
      </c>
      <c r="M282" s="2">
        <v>524899.56999999995</v>
      </c>
      <c r="N282" s="2">
        <v>63619.98</v>
      </c>
    </row>
    <row r="283" spans="1:14">
      <c r="A283" s="2" t="s">
        <v>92</v>
      </c>
      <c r="B283" s="3">
        <v>45689</v>
      </c>
      <c r="C283" s="2" t="s">
        <v>24</v>
      </c>
      <c r="D283" s="2" t="s">
        <v>18</v>
      </c>
      <c r="E283" s="2">
        <v>34771.26</v>
      </c>
      <c r="F283" s="2">
        <v>4355</v>
      </c>
      <c r="G283" s="2">
        <v>5.0999999999999997E-2</v>
      </c>
      <c r="H283" s="2">
        <v>15</v>
      </c>
      <c r="I283" s="2">
        <v>87.9</v>
      </c>
      <c r="J283" s="2">
        <v>3.09</v>
      </c>
      <c r="K283" s="2">
        <v>0</v>
      </c>
      <c r="L283" s="2">
        <v>4</v>
      </c>
      <c r="M283" s="2">
        <v>555557.77</v>
      </c>
      <c r="N283" s="2">
        <v>86475.51</v>
      </c>
    </row>
    <row r="284" spans="1:14">
      <c r="A284" s="2" t="s">
        <v>92</v>
      </c>
      <c r="B284" s="3">
        <v>45717</v>
      </c>
      <c r="C284" s="2" t="s">
        <v>24</v>
      </c>
      <c r="D284" s="2" t="s">
        <v>18</v>
      </c>
      <c r="E284" s="2">
        <v>66104.19</v>
      </c>
      <c r="F284" s="2">
        <v>5745</v>
      </c>
      <c r="G284" s="2">
        <v>7.0000000000000007E-2</v>
      </c>
      <c r="H284" s="2">
        <v>17</v>
      </c>
      <c r="I284" s="2">
        <v>95.8</v>
      </c>
      <c r="J284" s="2">
        <v>3.15</v>
      </c>
      <c r="K284" s="2">
        <v>0</v>
      </c>
      <c r="L284" s="2">
        <v>4</v>
      </c>
      <c r="M284" s="2">
        <v>714083.68</v>
      </c>
      <c r="N284" s="2">
        <v>127231.74</v>
      </c>
    </row>
    <row r="285" spans="1:14">
      <c r="A285" s="2" t="s">
        <v>92</v>
      </c>
      <c r="B285" s="3">
        <v>45748</v>
      </c>
      <c r="C285" s="2" t="s">
        <v>24</v>
      </c>
      <c r="D285" s="2" t="s">
        <v>18</v>
      </c>
      <c r="E285" s="2">
        <v>18599.21</v>
      </c>
      <c r="F285" s="2">
        <v>3027</v>
      </c>
      <c r="G285" s="2">
        <v>0.122</v>
      </c>
      <c r="H285" s="2">
        <v>11</v>
      </c>
      <c r="I285" s="2">
        <v>80.900000000000006</v>
      </c>
      <c r="J285" s="2">
        <v>6.44</v>
      </c>
      <c r="K285" s="2">
        <v>0</v>
      </c>
      <c r="L285" s="2">
        <v>4.2</v>
      </c>
      <c r="M285" s="2">
        <v>497439.82</v>
      </c>
      <c r="N285" s="2">
        <v>93372.75</v>
      </c>
    </row>
    <row r="286" spans="1:14">
      <c r="A286" s="2" t="s">
        <v>93</v>
      </c>
      <c r="B286" s="3">
        <v>45658</v>
      </c>
      <c r="C286" s="2" t="s">
        <v>27</v>
      </c>
      <c r="D286" s="2" t="s">
        <v>16</v>
      </c>
      <c r="E286" s="2">
        <v>60183.06</v>
      </c>
      <c r="F286" s="2">
        <v>5562</v>
      </c>
      <c r="G286" s="2">
        <v>8.9999999999999993E-3</v>
      </c>
      <c r="H286" s="2">
        <v>13</v>
      </c>
      <c r="I286" s="2">
        <v>86.3</v>
      </c>
      <c r="J286" s="2">
        <v>0.2</v>
      </c>
      <c r="K286" s="2">
        <v>1</v>
      </c>
      <c r="L286" s="2">
        <v>4.5</v>
      </c>
      <c r="M286" s="2">
        <v>636775.66</v>
      </c>
      <c r="N286" s="2">
        <v>122636.86</v>
      </c>
    </row>
    <row r="287" spans="1:14">
      <c r="A287" s="2" t="s">
        <v>93</v>
      </c>
      <c r="B287" s="3">
        <v>45689</v>
      </c>
      <c r="C287" s="2" t="s">
        <v>27</v>
      </c>
      <c r="D287" s="2" t="s">
        <v>16</v>
      </c>
      <c r="E287" s="2">
        <v>74539.14</v>
      </c>
      <c r="F287" s="2">
        <v>4487</v>
      </c>
      <c r="G287" s="2">
        <v>0.14000000000000001</v>
      </c>
      <c r="H287" s="2">
        <v>10</v>
      </c>
      <c r="I287" s="2">
        <v>90.4</v>
      </c>
      <c r="J287" s="2">
        <v>0.59</v>
      </c>
      <c r="K287" s="2">
        <v>0</v>
      </c>
      <c r="L287" s="2">
        <v>4.5</v>
      </c>
      <c r="M287" s="2">
        <v>633009.53</v>
      </c>
      <c r="N287" s="2">
        <v>123782.67</v>
      </c>
    </row>
    <row r="288" spans="1:14">
      <c r="A288" s="2" t="s">
        <v>93</v>
      </c>
      <c r="B288" s="3">
        <v>45717</v>
      </c>
      <c r="C288" s="2" t="s">
        <v>27</v>
      </c>
      <c r="D288" s="2" t="s">
        <v>16</v>
      </c>
      <c r="E288" s="2">
        <v>55371.97</v>
      </c>
      <c r="F288" s="2">
        <v>4162</v>
      </c>
      <c r="G288" s="2">
        <v>0.183</v>
      </c>
      <c r="H288" s="2">
        <v>11</v>
      </c>
      <c r="I288" s="2">
        <v>92</v>
      </c>
      <c r="J288" s="2">
        <v>0.2</v>
      </c>
      <c r="K288" s="2">
        <v>1</v>
      </c>
      <c r="L288" s="2">
        <v>4.2</v>
      </c>
      <c r="M288" s="2">
        <v>609949</v>
      </c>
      <c r="N288" s="2">
        <v>126789.25</v>
      </c>
    </row>
    <row r="289" spans="1:14">
      <c r="A289" s="2" t="s">
        <v>93</v>
      </c>
      <c r="B289" s="3">
        <v>45748</v>
      </c>
      <c r="C289" s="2" t="s">
        <v>27</v>
      </c>
      <c r="D289" s="2" t="s">
        <v>16</v>
      </c>
      <c r="E289" s="2">
        <v>40928.69</v>
      </c>
      <c r="F289" s="2">
        <v>4094</v>
      </c>
      <c r="G289" s="2">
        <v>0.17399999999999999</v>
      </c>
      <c r="H289" s="2">
        <v>13</v>
      </c>
      <c r="I289" s="2">
        <v>82.4</v>
      </c>
      <c r="J289" s="2">
        <v>1.36</v>
      </c>
      <c r="K289" s="2">
        <v>0</v>
      </c>
      <c r="L289" s="2">
        <v>4.8</v>
      </c>
      <c r="M289" s="2">
        <v>548103.69999999995</v>
      </c>
      <c r="N289" s="2">
        <v>99905.52</v>
      </c>
    </row>
    <row r="290" spans="1:14">
      <c r="A290" s="2" t="s">
        <v>94</v>
      </c>
      <c r="B290" s="3">
        <v>45658</v>
      </c>
      <c r="C290" s="2" t="s">
        <v>15</v>
      </c>
      <c r="D290" s="2" t="s">
        <v>16</v>
      </c>
      <c r="E290" s="2">
        <v>70012.41</v>
      </c>
      <c r="F290" s="2">
        <v>8484</v>
      </c>
      <c r="G290" s="2">
        <v>0.27300000000000002</v>
      </c>
      <c r="H290" s="2">
        <v>23</v>
      </c>
      <c r="I290" s="2">
        <v>72.900000000000006</v>
      </c>
      <c r="J290" s="2">
        <v>3.34</v>
      </c>
      <c r="K290" s="2">
        <v>0</v>
      </c>
      <c r="L290" s="2">
        <v>3.7</v>
      </c>
      <c r="M290" s="2">
        <v>729424.42</v>
      </c>
      <c r="N290" s="2">
        <v>75592.28</v>
      </c>
    </row>
    <row r="291" spans="1:14">
      <c r="A291" s="2" t="s">
        <v>94</v>
      </c>
      <c r="B291" s="3">
        <v>45689</v>
      </c>
      <c r="C291" s="2" t="s">
        <v>15</v>
      </c>
      <c r="D291" s="2" t="s">
        <v>16</v>
      </c>
      <c r="E291" s="2">
        <v>68909.259999999995</v>
      </c>
      <c r="F291" s="2">
        <v>7794</v>
      </c>
      <c r="G291" s="2">
        <v>0.28399999999999997</v>
      </c>
      <c r="H291" s="2">
        <v>22</v>
      </c>
      <c r="I291" s="2">
        <v>89</v>
      </c>
      <c r="J291" s="2">
        <v>0.33</v>
      </c>
      <c r="K291" s="2">
        <v>0</v>
      </c>
      <c r="L291" s="2">
        <v>4</v>
      </c>
      <c r="M291" s="2">
        <v>696261.49</v>
      </c>
      <c r="N291" s="2">
        <v>72455.350000000006</v>
      </c>
    </row>
    <row r="292" spans="1:14">
      <c r="A292" s="2" t="s">
        <v>94</v>
      </c>
      <c r="B292" s="3">
        <v>45717</v>
      </c>
      <c r="C292" s="2" t="s">
        <v>15</v>
      </c>
      <c r="D292" s="2" t="s">
        <v>16</v>
      </c>
      <c r="E292" s="2">
        <v>56737.3</v>
      </c>
      <c r="F292" s="2">
        <v>8300</v>
      </c>
      <c r="G292" s="2">
        <v>3.2000000000000001E-2</v>
      </c>
      <c r="H292" s="2">
        <v>21</v>
      </c>
      <c r="I292" s="2">
        <v>83.2</v>
      </c>
      <c r="J292" s="2">
        <v>3.44</v>
      </c>
      <c r="K292" s="2">
        <v>1</v>
      </c>
      <c r="L292" s="2">
        <v>4.3</v>
      </c>
      <c r="M292" s="2">
        <v>813316.71</v>
      </c>
      <c r="N292" s="2">
        <v>110077.42</v>
      </c>
    </row>
    <row r="293" spans="1:14">
      <c r="A293" s="2" t="s">
        <v>94</v>
      </c>
      <c r="B293" s="3">
        <v>45748</v>
      </c>
      <c r="C293" s="2" t="s">
        <v>15</v>
      </c>
      <c r="D293" s="2" t="s">
        <v>16</v>
      </c>
      <c r="E293" s="2">
        <v>54080.91</v>
      </c>
      <c r="F293" s="2">
        <v>7083</v>
      </c>
      <c r="G293" s="2">
        <v>0</v>
      </c>
      <c r="H293" s="2">
        <v>15</v>
      </c>
      <c r="I293" s="2">
        <v>97</v>
      </c>
      <c r="J293" s="2">
        <v>5.33</v>
      </c>
      <c r="K293" s="2">
        <v>0</v>
      </c>
      <c r="L293" s="2">
        <v>4.0999999999999996</v>
      </c>
      <c r="M293" s="2">
        <v>702068.92</v>
      </c>
      <c r="N293" s="2">
        <v>111266.63</v>
      </c>
    </row>
    <row r="294" spans="1:14">
      <c r="A294" s="2" t="s">
        <v>95</v>
      </c>
      <c r="B294" s="3">
        <v>45658</v>
      </c>
      <c r="C294" s="2" t="s">
        <v>27</v>
      </c>
      <c r="D294" s="2" t="s">
        <v>18</v>
      </c>
      <c r="E294" s="2">
        <v>51996.32</v>
      </c>
      <c r="F294" s="2">
        <v>3834</v>
      </c>
      <c r="G294" s="2">
        <v>9.6000000000000002E-2</v>
      </c>
      <c r="H294" s="2">
        <v>8</v>
      </c>
      <c r="I294" s="2">
        <v>86.7</v>
      </c>
      <c r="J294" s="2">
        <v>6.04</v>
      </c>
      <c r="K294" s="2">
        <v>0</v>
      </c>
      <c r="L294" s="2">
        <v>4.5</v>
      </c>
      <c r="M294" s="2">
        <v>546223.69999999995</v>
      </c>
      <c r="N294" s="2">
        <v>100769.17</v>
      </c>
    </row>
    <row r="295" spans="1:14">
      <c r="A295" s="2" t="s">
        <v>95</v>
      </c>
      <c r="B295" s="3">
        <v>45689</v>
      </c>
      <c r="C295" s="2" t="s">
        <v>27</v>
      </c>
      <c r="D295" s="2" t="s">
        <v>18</v>
      </c>
      <c r="E295" s="2">
        <v>40102.879999999997</v>
      </c>
      <c r="F295" s="2">
        <v>2358</v>
      </c>
      <c r="G295" s="2">
        <v>0.11899999999999999</v>
      </c>
      <c r="H295" s="2">
        <v>9</v>
      </c>
      <c r="I295" s="2">
        <v>88.7</v>
      </c>
      <c r="J295" s="2">
        <v>1.6</v>
      </c>
      <c r="K295" s="2">
        <v>0</v>
      </c>
      <c r="L295" s="2">
        <v>4.2</v>
      </c>
      <c r="M295" s="2">
        <v>533121.26</v>
      </c>
      <c r="N295" s="2">
        <v>55063.39</v>
      </c>
    </row>
    <row r="296" spans="1:14">
      <c r="A296" s="2" t="s">
        <v>95</v>
      </c>
      <c r="B296" s="3">
        <v>45717</v>
      </c>
      <c r="C296" s="2" t="s">
        <v>27</v>
      </c>
      <c r="D296" s="2" t="s">
        <v>18</v>
      </c>
      <c r="E296" s="2">
        <v>59825.51</v>
      </c>
      <c r="F296" s="2">
        <v>1231</v>
      </c>
      <c r="G296" s="2">
        <v>0.214</v>
      </c>
      <c r="H296" s="2">
        <v>10</v>
      </c>
      <c r="I296" s="2">
        <v>84.8</v>
      </c>
      <c r="J296" s="2">
        <v>8.9600000000000009</v>
      </c>
      <c r="K296" s="2">
        <v>0</v>
      </c>
      <c r="L296" s="2">
        <v>4.7</v>
      </c>
      <c r="M296" s="2">
        <v>498970.32</v>
      </c>
      <c r="N296" s="2">
        <v>69656.7</v>
      </c>
    </row>
    <row r="297" spans="1:14">
      <c r="A297" s="2" t="s">
        <v>95</v>
      </c>
      <c r="B297" s="3">
        <v>45748</v>
      </c>
      <c r="C297" s="2" t="s">
        <v>27</v>
      </c>
      <c r="D297" s="2" t="s">
        <v>18</v>
      </c>
      <c r="E297" s="2">
        <v>27398.28</v>
      </c>
      <c r="F297" s="2">
        <v>1723</v>
      </c>
      <c r="G297" s="2">
        <v>0.17100000000000001</v>
      </c>
      <c r="H297" s="2">
        <v>9</v>
      </c>
      <c r="I297" s="2">
        <v>81</v>
      </c>
      <c r="J297" s="2">
        <v>0.74</v>
      </c>
      <c r="K297" s="2">
        <v>0</v>
      </c>
      <c r="L297" s="2">
        <v>4.5999999999999996</v>
      </c>
      <c r="M297" s="2">
        <v>487738.26</v>
      </c>
      <c r="N297" s="2">
        <v>96435.6</v>
      </c>
    </row>
    <row r="298" spans="1:14">
      <c r="A298" s="2" t="s">
        <v>96</v>
      </c>
      <c r="B298" s="3">
        <v>45658</v>
      </c>
      <c r="C298" s="2" t="s">
        <v>27</v>
      </c>
      <c r="D298" s="2" t="s">
        <v>18</v>
      </c>
      <c r="E298" s="2">
        <v>55599.56</v>
      </c>
      <c r="F298" s="2">
        <v>5896</v>
      </c>
      <c r="G298" s="2">
        <v>3.5999999999999997E-2</v>
      </c>
      <c r="H298" s="2">
        <v>12</v>
      </c>
      <c r="I298" s="2">
        <v>93.1</v>
      </c>
      <c r="J298" s="2">
        <v>6.13</v>
      </c>
      <c r="K298" s="2">
        <v>0</v>
      </c>
      <c r="L298" s="2">
        <v>3.3</v>
      </c>
      <c r="M298" s="2">
        <v>668459.37</v>
      </c>
      <c r="N298" s="2">
        <v>126435.42</v>
      </c>
    </row>
    <row r="299" spans="1:14">
      <c r="A299" s="2" t="s">
        <v>96</v>
      </c>
      <c r="B299" s="3">
        <v>45689</v>
      </c>
      <c r="C299" s="2" t="s">
        <v>27</v>
      </c>
      <c r="D299" s="2" t="s">
        <v>18</v>
      </c>
      <c r="E299" s="2">
        <v>55477.61</v>
      </c>
      <c r="F299" s="2">
        <v>5903</v>
      </c>
      <c r="G299" s="2">
        <v>0.10199999999999999</v>
      </c>
      <c r="H299" s="2">
        <v>14</v>
      </c>
      <c r="I299" s="2">
        <v>96.2</v>
      </c>
      <c r="J299" s="2">
        <v>1.41</v>
      </c>
      <c r="K299" s="2">
        <v>0</v>
      </c>
      <c r="L299" s="2">
        <v>3.3</v>
      </c>
      <c r="M299" s="2">
        <v>763162.45</v>
      </c>
      <c r="N299" s="2">
        <v>162524.04999999999</v>
      </c>
    </row>
    <row r="300" spans="1:14">
      <c r="A300" s="2" t="s">
        <v>96</v>
      </c>
      <c r="B300" s="3">
        <v>45717</v>
      </c>
      <c r="C300" s="2" t="s">
        <v>27</v>
      </c>
      <c r="D300" s="2" t="s">
        <v>18</v>
      </c>
      <c r="E300" s="2">
        <v>46174.7</v>
      </c>
      <c r="F300" s="2">
        <v>4898</v>
      </c>
      <c r="G300" s="2">
        <v>0.114</v>
      </c>
      <c r="H300" s="2">
        <v>11</v>
      </c>
      <c r="I300" s="2">
        <v>91.7</v>
      </c>
      <c r="J300" s="2">
        <v>3.75</v>
      </c>
      <c r="K300" s="2">
        <v>0</v>
      </c>
      <c r="L300" s="2">
        <v>3.1</v>
      </c>
      <c r="M300" s="2">
        <v>599017.32999999996</v>
      </c>
      <c r="N300" s="2">
        <v>134009.92000000001</v>
      </c>
    </row>
    <row r="301" spans="1:14">
      <c r="A301" s="2" t="s">
        <v>96</v>
      </c>
      <c r="B301" s="3">
        <v>45748</v>
      </c>
      <c r="C301" s="2" t="s">
        <v>27</v>
      </c>
      <c r="D301" s="2" t="s">
        <v>18</v>
      </c>
      <c r="E301" s="2">
        <v>24362.98</v>
      </c>
      <c r="F301" s="2">
        <v>1462</v>
      </c>
      <c r="G301" s="2">
        <v>0.11700000000000001</v>
      </c>
      <c r="H301" s="2">
        <v>6</v>
      </c>
      <c r="I301" s="2">
        <v>89.3</v>
      </c>
      <c r="J301" s="2">
        <v>15.06</v>
      </c>
      <c r="K301" s="2">
        <v>0</v>
      </c>
      <c r="L301" s="2">
        <v>3.2</v>
      </c>
      <c r="M301" s="2">
        <v>401582.58</v>
      </c>
      <c r="N301" s="2">
        <v>68454.929999999993</v>
      </c>
    </row>
    <row r="302" spans="1:14">
      <c r="A302" s="2" t="s">
        <v>97</v>
      </c>
      <c r="B302" s="3">
        <v>45658</v>
      </c>
      <c r="C302" s="2" t="s">
        <v>20</v>
      </c>
      <c r="D302" s="2" t="s">
        <v>28</v>
      </c>
      <c r="E302" s="2">
        <v>40647.67</v>
      </c>
      <c r="F302" s="2">
        <v>8252</v>
      </c>
      <c r="G302" s="2">
        <v>0.14099999999999999</v>
      </c>
      <c r="H302" s="2">
        <v>22</v>
      </c>
      <c r="I302" s="2">
        <v>88.2</v>
      </c>
      <c r="J302" s="2">
        <v>5.07</v>
      </c>
      <c r="K302" s="2">
        <v>1</v>
      </c>
      <c r="L302" s="2">
        <v>4.0999999999999996</v>
      </c>
      <c r="M302" s="2">
        <v>703812.99</v>
      </c>
      <c r="N302" s="2">
        <v>133577.98000000001</v>
      </c>
    </row>
    <row r="303" spans="1:14">
      <c r="A303" s="2" t="s">
        <v>97</v>
      </c>
      <c r="B303" s="3">
        <v>45689</v>
      </c>
      <c r="C303" s="2" t="s">
        <v>20</v>
      </c>
      <c r="D303" s="2" t="s">
        <v>28</v>
      </c>
      <c r="E303" s="2">
        <v>63986.98</v>
      </c>
      <c r="F303" s="2">
        <v>7989</v>
      </c>
      <c r="G303" s="2">
        <v>7.3999999999999996E-2</v>
      </c>
      <c r="H303" s="2">
        <v>20</v>
      </c>
      <c r="I303" s="2">
        <v>83.3</v>
      </c>
      <c r="J303" s="2">
        <v>3.6</v>
      </c>
      <c r="K303" s="2">
        <v>0</v>
      </c>
      <c r="L303" s="2">
        <v>3.7</v>
      </c>
      <c r="M303" s="2">
        <v>724346.73</v>
      </c>
      <c r="N303" s="2">
        <v>155013.91</v>
      </c>
    </row>
    <row r="304" spans="1:14">
      <c r="A304" s="2" t="s">
        <v>97</v>
      </c>
      <c r="B304" s="3">
        <v>45717</v>
      </c>
      <c r="C304" s="2" t="s">
        <v>20</v>
      </c>
      <c r="D304" s="2" t="s">
        <v>28</v>
      </c>
      <c r="E304" s="2">
        <v>52843.75</v>
      </c>
      <c r="F304" s="2">
        <v>8268</v>
      </c>
      <c r="G304" s="2">
        <v>0.13800000000000001</v>
      </c>
      <c r="H304" s="2">
        <v>19</v>
      </c>
      <c r="I304" s="2">
        <v>87.3</v>
      </c>
      <c r="J304" s="2">
        <v>4.3899999999999997</v>
      </c>
      <c r="K304" s="2">
        <v>1</v>
      </c>
      <c r="L304" s="2">
        <v>4.7</v>
      </c>
      <c r="M304" s="2">
        <v>730890.01</v>
      </c>
      <c r="N304" s="2">
        <v>105502.56</v>
      </c>
    </row>
    <row r="305" spans="1:14">
      <c r="A305" s="2" t="s">
        <v>97</v>
      </c>
      <c r="B305" s="3">
        <v>45748</v>
      </c>
      <c r="C305" s="2" t="s">
        <v>20</v>
      </c>
      <c r="D305" s="2" t="s">
        <v>28</v>
      </c>
      <c r="E305" s="2">
        <v>31997.25</v>
      </c>
      <c r="F305" s="2">
        <v>8183</v>
      </c>
      <c r="G305" s="2">
        <v>0.19800000000000001</v>
      </c>
      <c r="H305" s="2">
        <v>18</v>
      </c>
      <c r="I305" s="2">
        <v>93</v>
      </c>
      <c r="J305" s="2">
        <v>2.79</v>
      </c>
      <c r="K305" s="2">
        <v>0</v>
      </c>
      <c r="L305" s="2">
        <v>4.2</v>
      </c>
      <c r="M305" s="2">
        <v>780580.95</v>
      </c>
      <c r="N305" s="2">
        <v>138144.46</v>
      </c>
    </row>
    <row r="306" spans="1:14">
      <c r="A306" s="2" t="s">
        <v>98</v>
      </c>
      <c r="B306" s="3">
        <v>45658</v>
      </c>
      <c r="C306" s="2" t="s">
        <v>24</v>
      </c>
      <c r="D306" s="2" t="s">
        <v>16</v>
      </c>
      <c r="E306" s="2">
        <v>54948.02</v>
      </c>
      <c r="F306" s="2">
        <v>6534</v>
      </c>
      <c r="G306" s="2">
        <v>0.183</v>
      </c>
      <c r="H306" s="2">
        <v>14</v>
      </c>
      <c r="I306" s="2">
        <v>94.5</v>
      </c>
      <c r="J306" s="2">
        <v>1.56</v>
      </c>
      <c r="K306" s="2">
        <v>0</v>
      </c>
      <c r="L306" s="2">
        <v>4</v>
      </c>
      <c r="M306" s="2">
        <v>727957.48</v>
      </c>
      <c r="N306" s="2">
        <v>74805.23</v>
      </c>
    </row>
    <row r="307" spans="1:14">
      <c r="A307" s="2" t="s">
        <v>98</v>
      </c>
      <c r="B307" s="3">
        <v>45689</v>
      </c>
      <c r="C307" s="2" t="s">
        <v>24</v>
      </c>
      <c r="D307" s="2" t="s">
        <v>16</v>
      </c>
      <c r="E307" s="2">
        <v>46146.239999999998</v>
      </c>
      <c r="F307" s="2">
        <v>5804</v>
      </c>
      <c r="G307" s="2">
        <v>4.7E-2</v>
      </c>
      <c r="H307" s="2">
        <v>16</v>
      </c>
      <c r="I307" s="2">
        <v>86.9</v>
      </c>
      <c r="J307" s="2">
        <v>15.82</v>
      </c>
      <c r="K307" s="2">
        <v>0</v>
      </c>
      <c r="L307" s="2">
        <v>3.8</v>
      </c>
      <c r="M307" s="2">
        <v>538376</v>
      </c>
      <c r="N307" s="2">
        <v>87605.62</v>
      </c>
    </row>
    <row r="308" spans="1:14">
      <c r="A308" s="2" t="s">
        <v>98</v>
      </c>
      <c r="B308" s="3">
        <v>45717</v>
      </c>
      <c r="C308" s="2" t="s">
        <v>24</v>
      </c>
      <c r="D308" s="2" t="s">
        <v>16</v>
      </c>
      <c r="E308" s="2">
        <v>22387.26</v>
      </c>
      <c r="F308" s="2">
        <v>6301</v>
      </c>
      <c r="G308" s="2">
        <v>0.14599999999999999</v>
      </c>
      <c r="H308" s="2">
        <v>14</v>
      </c>
      <c r="I308" s="2">
        <v>85.9</v>
      </c>
      <c r="J308" s="2">
        <v>1.17</v>
      </c>
      <c r="K308" s="2">
        <v>1</v>
      </c>
      <c r="L308" s="2">
        <v>3.7</v>
      </c>
      <c r="M308" s="2">
        <v>665342.49</v>
      </c>
      <c r="N308" s="2">
        <v>93441.81</v>
      </c>
    </row>
    <row r="309" spans="1:14">
      <c r="A309" s="2" t="s">
        <v>98</v>
      </c>
      <c r="B309" s="3">
        <v>45748</v>
      </c>
      <c r="C309" s="2" t="s">
        <v>24</v>
      </c>
      <c r="D309" s="2" t="s">
        <v>16</v>
      </c>
      <c r="E309" s="2">
        <v>60684.05</v>
      </c>
      <c r="F309" s="2">
        <v>6399</v>
      </c>
      <c r="G309" s="2">
        <v>7.4999999999999997E-2</v>
      </c>
      <c r="H309" s="2">
        <v>16</v>
      </c>
      <c r="I309" s="2">
        <v>99</v>
      </c>
      <c r="J309" s="2">
        <v>3.82</v>
      </c>
      <c r="K309" s="2">
        <v>0</v>
      </c>
      <c r="L309" s="2">
        <v>3.5</v>
      </c>
      <c r="M309" s="2">
        <v>651164.18000000005</v>
      </c>
      <c r="N309" s="2">
        <v>109466.5</v>
      </c>
    </row>
    <row r="310" spans="1:14">
      <c r="A310" s="2" t="s">
        <v>99</v>
      </c>
      <c r="B310" s="3">
        <v>45658</v>
      </c>
      <c r="C310" s="2" t="s">
        <v>24</v>
      </c>
      <c r="D310" s="2" t="s">
        <v>18</v>
      </c>
      <c r="E310" s="2">
        <v>48465.599999999999</v>
      </c>
      <c r="F310" s="2">
        <v>5759</v>
      </c>
      <c r="G310" s="2">
        <v>0.154</v>
      </c>
      <c r="H310" s="2">
        <v>13</v>
      </c>
      <c r="I310" s="2">
        <v>87.5</v>
      </c>
      <c r="J310" s="2">
        <v>4.1399999999999997</v>
      </c>
      <c r="K310" s="2">
        <v>0</v>
      </c>
      <c r="L310" s="2">
        <v>4</v>
      </c>
      <c r="M310" s="2">
        <v>628538.30000000005</v>
      </c>
      <c r="N310" s="2">
        <v>112509.15</v>
      </c>
    </row>
    <row r="311" spans="1:14">
      <c r="A311" s="2" t="s">
        <v>99</v>
      </c>
      <c r="B311" s="3">
        <v>45689</v>
      </c>
      <c r="C311" s="2" t="s">
        <v>24</v>
      </c>
      <c r="D311" s="2" t="s">
        <v>18</v>
      </c>
      <c r="E311" s="2">
        <v>23702.38</v>
      </c>
      <c r="F311" s="2">
        <v>5285</v>
      </c>
      <c r="G311" s="2">
        <v>0.16700000000000001</v>
      </c>
      <c r="H311" s="2">
        <v>14</v>
      </c>
      <c r="I311" s="2">
        <v>79.7</v>
      </c>
      <c r="J311" s="2">
        <v>1.1000000000000001</v>
      </c>
      <c r="K311" s="2">
        <v>0</v>
      </c>
      <c r="L311" s="2">
        <v>4.3</v>
      </c>
      <c r="M311" s="2">
        <v>536524.84</v>
      </c>
      <c r="N311" s="2">
        <v>92752.94</v>
      </c>
    </row>
    <row r="312" spans="1:14">
      <c r="A312" s="2" t="s">
        <v>99</v>
      </c>
      <c r="B312" s="3">
        <v>45717</v>
      </c>
      <c r="C312" s="2" t="s">
        <v>24</v>
      </c>
      <c r="D312" s="2" t="s">
        <v>18</v>
      </c>
      <c r="E312" s="2">
        <v>54322.94</v>
      </c>
      <c r="F312" s="2">
        <v>5434</v>
      </c>
      <c r="G312" s="2">
        <v>0.2</v>
      </c>
      <c r="H312" s="2">
        <v>13</v>
      </c>
      <c r="I312" s="2">
        <v>85.7</v>
      </c>
      <c r="J312" s="2">
        <v>10.6</v>
      </c>
      <c r="K312" s="2">
        <v>0</v>
      </c>
      <c r="L312" s="2">
        <v>4.2</v>
      </c>
      <c r="M312" s="2">
        <v>621677.30000000005</v>
      </c>
      <c r="N312" s="2">
        <v>105192.52</v>
      </c>
    </row>
    <row r="313" spans="1:14">
      <c r="A313" s="2" t="s">
        <v>99</v>
      </c>
      <c r="B313" s="3">
        <v>45748</v>
      </c>
      <c r="C313" s="2" t="s">
        <v>24</v>
      </c>
      <c r="D313" s="2" t="s">
        <v>18</v>
      </c>
      <c r="E313" s="2">
        <v>86026.58</v>
      </c>
      <c r="F313" s="2">
        <v>7479</v>
      </c>
      <c r="G313" s="2">
        <v>0.14199999999999999</v>
      </c>
      <c r="H313" s="2">
        <v>20</v>
      </c>
      <c r="I313" s="2">
        <v>89</v>
      </c>
      <c r="J313" s="2">
        <v>0.9</v>
      </c>
      <c r="K313" s="2">
        <v>0</v>
      </c>
      <c r="L313" s="2"/>
      <c r="M313" s="2">
        <v>771129.07</v>
      </c>
      <c r="N313" s="2">
        <v>116851.13</v>
      </c>
    </row>
    <row r="314" spans="1:14">
      <c r="A314" s="2" t="s">
        <v>100</v>
      </c>
      <c r="B314" s="3">
        <v>45658</v>
      </c>
      <c r="C314" s="2" t="s">
        <v>20</v>
      </c>
      <c r="D314" s="2" t="s">
        <v>16</v>
      </c>
      <c r="E314" s="2">
        <v>78967.520000000004</v>
      </c>
      <c r="F314" s="2">
        <v>6164</v>
      </c>
      <c r="G314" s="2">
        <v>2.1000000000000001E-2</v>
      </c>
      <c r="H314" s="2">
        <v>16</v>
      </c>
      <c r="I314" s="2">
        <v>85.5</v>
      </c>
      <c r="J314" s="2">
        <v>0.2</v>
      </c>
      <c r="K314" s="2">
        <v>0</v>
      </c>
      <c r="L314" s="2">
        <v>3.4</v>
      </c>
      <c r="M314" s="2">
        <v>702052.47</v>
      </c>
      <c r="N314" s="2">
        <v>121732.51</v>
      </c>
    </row>
    <row r="315" spans="1:14">
      <c r="A315" s="2" t="s">
        <v>100</v>
      </c>
      <c r="B315" s="3">
        <v>45689</v>
      </c>
      <c r="C315" s="2" t="s">
        <v>20</v>
      </c>
      <c r="D315" s="2" t="s">
        <v>16</v>
      </c>
      <c r="E315" s="2">
        <v>46767.99</v>
      </c>
      <c r="F315" s="2">
        <v>7973</v>
      </c>
      <c r="G315" s="2">
        <v>0.183</v>
      </c>
      <c r="H315" s="2">
        <v>18</v>
      </c>
      <c r="I315" s="2">
        <v>94.8</v>
      </c>
      <c r="J315" s="2">
        <v>4.67</v>
      </c>
      <c r="K315" s="2">
        <v>0</v>
      </c>
      <c r="L315" s="2"/>
      <c r="M315" s="2">
        <v>688368.46</v>
      </c>
      <c r="N315" s="2">
        <v>93588.42</v>
      </c>
    </row>
    <row r="316" spans="1:14">
      <c r="A316" s="2" t="s">
        <v>100</v>
      </c>
      <c r="B316" s="3">
        <v>45717</v>
      </c>
      <c r="C316" s="2" t="s">
        <v>20</v>
      </c>
      <c r="D316" s="2" t="s">
        <v>16</v>
      </c>
      <c r="E316" s="2">
        <v>62507.16</v>
      </c>
      <c r="F316" s="2">
        <v>6000</v>
      </c>
      <c r="G316" s="2">
        <v>9.0999999999999998E-2</v>
      </c>
      <c r="H316" s="2">
        <v>14</v>
      </c>
      <c r="I316" s="2">
        <v>98.2</v>
      </c>
      <c r="J316" s="2">
        <v>4.38</v>
      </c>
      <c r="K316" s="2">
        <v>1</v>
      </c>
      <c r="L316" s="2">
        <v>3.9</v>
      </c>
      <c r="M316" s="2">
        <v>712375.77</v>
      </c>
      <c r="N316" s="2">
        <v>104171.53</v>
      </c>
    </row>
    <row r="317" spans="1:14">
      <c r="A317" s="2" t="s">
        <v>100</v>
      </c>
      <c r="B317" s="3">
        <v>45748</v>
      </c>
      <c r="C317" s="2" t="s">
        <v>20</v>
      </c>
      <c r="D317" s="2" t="s">
        <v>16</v>
      </c>
      <c r="E317" s="2">
        <v>66456.28</v>
      </c>
      <c r="F317" s="2">
        <v>9967</v>
      </c>
      <c r="G317" s="2">
        <v>0.108</v>
      </c>
      <c r="H317" s="2">
        <v>20</v>
      </c>
      <c r="I317" s="2">
        <v>94.7</v>
      </c>
      <c r="J317" s="2">
        <v>4.4800000000000004</v>
      </c>
      <c r="K317" s="2">
        <v>0</v>
      </c>
      <c r="L317" s="2">
        <v>4.2</v>
      </c>
      <c r="M317" s="2">
        <v>844710.67</v>
      </c>
      <c r="N317" s="2">
        <v>137140.18</v>
      </c>
    </row>
    <row r="318" spans="1:14">
      <c r="A318" s="2" t="s">
        <v>101</v>
      </c>
      <c r="B318" s="3">
        <v>45658</v>
      </c>
      <c r="C318" s="2" t="s">
        <v>15</v>
      </c>
      <c r="D318" s="2" t="s">
        <v>16</v>
      </c>
      <c r="E318" s="2">
        <v>76614.320000000007</v>
      </c>
      <c r="F318" s="2">
        <v>5639</v>
      </c>
      <c r="G318" s="2">
        <v>0.17399999999999999</v>
      </c>
      <c r="H318" s="2">
        <v>15</v>
      </c>
      <c r="I318" s="2">
        <v>92.9</v>
      </c>
      <c r="J318" s="2">
        <v>1.02</v>
      </c>
      <c r="K318" s="2">
        <v>1</v>
      </c>
      <c r="L318" s="2">
        <v>4</v>
      </c>
      <c r="M318" s="2">
        <v>620264.19999999995</v>
      </c>
      <c r="N318" s="2">
        <v>91365.64</v>
      </c>
    </row>
    <row r="319" spans="1:14">
      <c r="A319" s="2" t="s">
        <v>101</v>
      </c>
      <c r="B319" s="3">
        <v>45689</v>
      </c>
      <c r="C319" s="2" t="s">
        <v>15</v>
      </c>
      <c r="D319" s="2" t="s">
        <v>16</v>
      </c>
      <c r="E319" s="2">
        <v>24088.06</v>
      </c>
      <c r="F319" s="2">
        <v>3466</v>
      </c>
      <c r="G319" s="2">
        <v>0</v>
      </c>
      <c r="H319" s="2">
        <v>11</v>
      </c>
      <c r="I319" s="2">
        <v>88</v>
      </c>
      <c r="J319" s="2">
        <v>0.2</v>
      </c>
      <c r="K319" s="2">
        <v>0</v>
      </c>
      <c r="L319" s="2">
        <v>3.8</v>
      </c>
      <c r="M319" s="2">
        <v>536845.42000000004</v>
      </c>
      <c r="N319" s="2">
        <v>107473.75</v>
      </c>
    </row>
    <row r="320" spans="1:14">
      <c r="A320" s="2" t="s">
        <v>101</v>
      </c>
      <c r="B320" s="3">
        <v>45717</v>
      </c>
      <c r="C320" s="2" t="s">
        <v>15</v>
      </c>
      <c r="D320" s="2" t="s">
        <v>16</v>
      </c>
      <c r="E320" s="2">
        <v>81902.58</v>
      </c>
      <c r="F320" s="2">
        <v>7775</v>
      </c>
      <c r="G320" s="2">
        <v>0.215</v>
      </c>
      <c r="H320" s="2">
        <v>20</v>
      </c>
      <c r="I320" s="2">
        <v>85.2</v>
      </c>
      <c r="J320" s="2">
        <v>4.8899999999999997</v>
      </c>
      <c r="K320" s="2">
        <v>1</v>
      </c>
      <c r="L320" s="2">
        <v>4.2</v>
      </c>
      <c r="M320" s="2">
        <v>726776.22</v>
      </c>
      <c r="N320" s="2">
        <v>90804.49</v>
      </c>
    </row>
    <row r="321" spans="1:14">
      <c r="A321" s="2" t="s">
        <v>101</v>
      </c>
      <c r="B321" s="3">
        <v>45748</v>
      </c>
      <c r="C321" s="2" t="s">
        <v>15</v>
      </c>
      <c r="D321" s="2" t="s">
        <v>16</v>
      </c>
      <c r="E321" s="2">
        <v>40553.11</v>
      </c>
      <c r="F321" s="2">
        <v>5317</v>
      </c>
      <c r="G321" s="2">
        <v>0.16500000000000001</v>
      </c>
      <c r="H321" s="2">
        <v>17</v>
      </c>
      <c r="I321" s="2">
        <v>84.3</v>
      </c>
      <c r="J321" s="2">
        <v>11.82</v>
      </c>
      <c r="K321" s="2">
        <v>0</v>
      </c>
      <c r="L321" s="2">
        <v>4.0999999999999996</v>
      </c>
      <c r="M321" s="2">
        <v>559660.84</v>
      </c>
      <c r="N321" s="2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1"/>
  <sheetViews>
    <sheetView topLeftCell="E1" workbookViewId="0">
      <selection activeCell="M1" sqref="M1"/>
    </sheetView>
  </sheetViews>
  <sheetFormatPr defaultRowHeight="14"/>
  <cols>
    <col min="1" max="14" width="16" customWidth="1"/>
  </cols>
  <sheetData>
    <row r="1" spans="1:14" ht="18.6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45658</v>
      </c>
      <c r="C2" s="2" t="s">
        <v>15</v>
      </c>
      <c r="D2" s="2" t="s">
        <v>16</v>
      </c>
      <c r="E2" s="2">
        <v>70389.11</v>
      </c>
      <c r="F2" s="2">
        <v>8302</v>
      </c>
      <c r="G2" s="2">
        <v>4.2000000000000003E-2</v>
      </c>
      <c r="H2" s="2">
        <v>17</v>
      </c>
      <c r="I2" s="2">
        <v>75</v>
      </c>
      <c r="J2" s="2">
        <v>5.28</v>
      </c>
      <c r="K2" s="2">
        <v>1</v>
      </c>
      <c r="L2" s="2">
        <v>3.1</v>
      </c>
      <c r="M2" s="2">
        <v>658832.62</v>
      </c>
      <c r="N2" s="2">
        <v>84349.93</v>
      </c>
    </row>
    <row r="3" spans="1:14">
      <c r="A3" s="2" t="s">
        <v>14</v>
      </c>
      <c r="B3" s="3">
        <v>45689</v>
      </c>
      <c r="C3" s="2" t="s">
        <v>15</v>
      </c>
      <c r="D3" s="2" t="s">
        <v>16</v>
      </c>
      <c r="E3" s="2">
        <v>43827.89</v>
      </c>
      <c r="F3" s="2">
        <v>8487</v>
      </c>
      <c r="G3" s="2">
        <v>0.16800000000000001</v>
      </c>
      <c r="H3" s="2">
        <v>23</v>
      </c>
      <c r="I3" s="2">
        <v>84.4</v>
      </c>
      <c r="J3" s="2">
        <v>4.3099999999999996</v>
      </c>
      <c r="K3" s="2">
        <v>0</v>
      </c>
      <c r="L3" s="2">
        <v>2.8</v>
      </c>
      <c r="M3" s="2">
        <v>634436</v>
      </c>
      <c r="N3" s="2">
        <v>106130.54</v>
      </c>
    </row>
    <row r="4" spans="1:14">
      <c r="A4" s="2" t="s">
        <v>14</v>
      </c>
      <c r="B4" s="3">
        <v>45717</v>
      </c>
      <c r="C4" s="2" t="s">
        <v>15</v>
      </c>
      <c r="D4" s="2" t="s">
        <v>16</v>
      </c>
      <c r="E4" s="2">
        <v>59921.75</v>
      </c>
      <c r="F4" s="2">
        <v>9113</v>
      </c>
      <c r="G4" s="2">
        <v>0.13300000000000001</v>
      </c>
      <c r="H4" s="2">
        <v>20</v>
      </c>
      <c r="I4" s="2">
        <v>88</v>
      </c>
      <c r="J4" s="2">
        <v>12</v>
      </c>
      <c r="K4" s="2">
        <v>0</v>
      </c>
      <c r="L4" s="2">
        <v>3.2</v>
      </c>
      <c r="M4" s="2">
        <v>678722.06</v>
      </c>
      <c r="N4" s="2">
        <v>101883.86</v>
      </c>
    </row>
    <row r="5" spans="1:14">
      <c r="A5" s="2" t="s">
        <v>14</v>
      </c>
      <c r="B5" s="3">
        <v>45748</v>
      </c>
      <c r="C5" s="2" t="s">
        <v>15</v>
      </c>
      <c r="D5" s="2" t="s">
        <v>16</v>
      </c>
      <c r="E5" s="2">
        <v>56856.63</v>
      </c>
      <c r="F5" s="2">
        <v>9431</v>
      </c>
      <c r="G5" s="2">
        <v>0.14199999999999999</v>
      </c>
      <c r="H5" s="2">
        <v>23</v>
      </c>
      <c r="I5" s="2">
        <v>86.9</v>
      </c>
      <c r="J5" s="2">
        <v>4.97</v>
      </c>
      <c r="K5" s="2">
        <v>0</v>
      </c>
      <c r="L5" s="2">
        <v>3.4</v>
      </c>
      <c r="M5" s="2">
        <v>658920.30000000005</v>
      </c>
      <c r="N5" s="2">
        <v>97910.37</v>
      </c>
    </row>
    <row r="6" spans="1:14">
      <c r="A6" s="2" t="s">
        <v>17</v>
      </c>
      <c r="B6" s="3">
        <v>45658</v>
      </c>
      <c r="C6" s="2" t="s">
        <v>15</v>
      </c>
      <c r="D6" s="2" t="s">
        <v>18</v>
      </c>
      <c r="E6" s="2">
        <v>48412.639999999999</v>
      </c>
      <c r="F6" s="2">
        <v>9545</v>
      </c>
      <c r="G6" s="2">
        <v>0.23100000000000001</v>
      </c>
      <c r="H6" s="2">
        <v>21</v>
      </c>
      <c r="I6" s="2">
        <v>97.6</v>
      </c>
      <c r="J6" s="2">
        <v>6.94</v>
      </c>
      <c r="K6" s="2">
        <v>1</v>
      </c>
      <c r="L6" s="2">
        <v>4.2</v>
      </c>
      <c r="M6" s="2">
        <v>741341.44</v>
      </c>
      <c r="N6" s="2">
        <v>119208.17</v>
      </c>
    </row>
    <row r="7" spans="1:14">
      <c r="A7" s="2" t="s">
        <v>17</v>
      </c>
      <c r="B7" s="3">
        <v>45689</v>
      </c>
      <c r="C7" s="2" t="s">
        <v>15</v>
      </c>
      <c r="D7" s="2" t="s">
        <v>18</v>
      </c>
      <c r="E7" s="2">
        <v>64811.21</v>
      </c>
      <c r="F7" s="2">
        <v>9792</v>
      </c>
      <c r="G7" s="2">
        <v>0.112</v>
      </c>
      <c r="H7" s="2">
        <v>20</v>
      </c>
      <c r="I7" s="2">
        <v>84.2</v>
      </c>
      <c r="J7" s="2">
        <v>2.88</v>
      </c>
      <c r="K7" s="2">
        <v>0</v>
      </c>
      <c r="L7" s="2">
        <v>4.2</v>
      </c>
      <c r="M7" s="2">
        <v>761835.34</v>
      </c>
      <c r="N7" s="2">
        <v>149602.23000000001</v>
      </c>
    </row>
    <row r="8" spans="1:14">
      <c r="A8" s="2" t="s">
        <v>17</v>
      </c>
      <c r="B8" s="3">
        <v>45717</v>
      </c>
      <c r="C8" s="2" t="s">
        <v>15</v>
      </c>
      <c r="D8" s="2" t="s">
        <v>18</v>
      </c>
      <c r="E8" s="2">
        <v>46213.45</v>
      </c>
      <c r="F8" s="2">
        <v>10616</v>
      </c>
      <c r="G8" s="2">
        <v>0.122</v>
      </c>
      <c r="H8" s="2">
        <v>22</v>
      </c>
      <c r="I8" s="2">
        <v>85.2</v>
      </c>
      <c r="J8" s="2">
        <v>0.2</v>
      </c>
      <c r="K8" s="2">
        <v>1</v>
      </c>
      <c r="L8" s="2">
        <v>4.0999999999999996</v>
      </c>
      <c r="M8" s="2">
        <v>806615.54</v>
      </c>
      <c r="N8" s="2">
        <v>131364.62</v>
      </c>
    </row>
    <row r="9" spans="1:14">
      <c r="A9" s="2" t="s">
        <v>17</v>
      </c>
      <c r="B9" s="3">
        <v>45748</v>
      </c>
      <c r="C9" s="2" t="s">
        <v>15</v>
      </c>
      <c r="D9" s="2" t="s">
        <v>18</v>
      </c>
      <c r="E9" s="2">
        <v>68148.52</v>
      </c>
      <c r="F9" s="2">
        <v>8567</v>
      </c>
      <c r="G9" s="2">
        <v>0.127</v>
      </c>
      <c r="H9" s="2">
        <v>23</v>
      </c>
      <c r="I9" s="2">
        <v>95.6</v>
      </c>
      <c r="J9" s="2">
        <v>0.8</v>
      </c>
      <c r="K9" s="2">
        <v>0</v>
      </c>
      <c r="L9" s="2">
        <v>3.9</v>
      </c>
      <c r="M9" s="2">
        <v>850164.26</v>
      </c>
      <c r="N9" s="2">
        <v>149262.75</v>
      </c>
    </row>
    <row r="10" spans="1:14">
      <c r="A10" s="2" t="s">
        <v>19</v>
      </c>
      <c r="B10" s="3">
        <v>45658</v>
      </c>
      <c r="C10" s="2" t="s">
        <v>20</v>
      </c>
      <c r="D10" s="2" t="s">
        <v>21</v>
      </c>
      <c r="E10" s="2">
        <v>71838.86</v>
      </c>
      <c r="F10" s="2">
        <v>10979</v>
      </c>
      <c r="G10" s="2">
        <v>0.215</v>
      </c>
      <c r="H10" s="2">
        <v>26</v>
      </c>
      <c r="I10" s="2">
        <v>88.6</v>
      </c>
      <c r="J10" s="2">
        <v>7.7</v>
      </c>
      <c r="K10" s="2">
        <v>1</v>
      </c>
      <c r="L10" s="2">
        <v>3.8</v>
      </c>
      <c r="M10" s="2">
        <v>930581.7</v>
      </c>
      <c r="N10" s="2">
        <v>136207.98000000001</v>
      </c>
    </row>
    <row r="11" spans="1:14">
      <c r="A11" s="2" t="s">
        <v>19</v>
      </c>
      <c r="B11" s="3">
        <v>45689</v>
      </c>
      <c r="C11" s="2" t="s">
        <v>20</v>
      </c>
      <c r="D11" s="2" t="s">
        <v>21</v>
      </c>
      <c r="E11" s="2">
        <v>68133.440000000002</v>
      </c>
      <c r="F11" s="2">
        <v>9459</v>
      </c>
      <c r="G11" s="2">
        <v>0.22</v>
      </c>
      <c r="H11" s="2">
        <v>21</v>
      </c>
      <c r="I11" s="2">
        <v>85</v>
      </c>
      <c r="J11" s="2">
        <v>1.91</v>
      </c>
      <c r="K11" s="2">
        <v>0</v>
      </c>
      <c r="L11" s="2">
        <v>4.2</v>
      </c>
      <c r="M11" s="2">
        <v>779010.94</v>
      </c>
      <c r="N11" s="2">
        <v>106328.09</v>
      </c>
    </row>
    <row r="12" spans="1:14">
      <c r="A12" s="2" t="s">
        <v>19</v>
      </c>
      <c r="B12" s="3">
        <v>45717</v>
      </c>
      <c r="C12" s="2" t="s">
        <v>20</v>
      </c>
      <c r="D12" s="2" t="s">
        <v>21</v>
      </c>
      <c r="E12" s="2">
        <v>34285.21</v>
      </c>
      <c r="F12" s="2">
        <v>9172</v>
      </c>
      <c r="G12" s="2">
        <v>0.21299999999999999</v>
      </c>
      <c r="H12" s="2">
        <v>22</v>
      </c>
      <c r="I12" s="2">
        <v>88.3</v>
      </c>
      <c r="J12" s="2">
        <v>10.46</v>
      </c>
      <c r="K12" s="2">
        <v>1</v>
      </c>
      <c r="L12" s="2">
        <v>3.8</v>
      </c>
      <c r="M12" s="2">
        <v>723060.76</v>
      </c>
      <c r="N12" s="2">
        <v>123131.24</v>
      </c>
    </row>
    <row r="13" spans="1:14">
      <c r="A13" s="2" t="s">
        <v>19</v>
      </c>
      <c r="B13" s="3">
        <v>45748</v>
      </c>
      <c r="C13" s="2" t="s">
        <v>20</v>
      </c>
      <c r="D13" s="2" t="s">
        <v>21</v>
      </c>
      <c r="E13" s="2">
        <v>67979.88</v>
      </c>
      <c r="F13" s="2">
        <v>11230</v>
      </c>
      <c r="G13" s="2">
        <v>2E-3</v>
      </c>
      <c r="H13" s="2">
        <v>28</v>
      </c>
      <c r="I13" s="2">
        <v>85.3</v>
      </c>
      <c r="J13" s="2">
        <v>7.16</v>
      </c>
      <c r="K13" s="2">
        <v>0</v>
      </c>
      <c r="L13" s="2">
        <v>3.8</v>
      </c>
      <c r="M13" s="2">
        <v>910791.94</v>
      </c>
      <c r="N13" s="2">
        <v>158891.28</v>
      </c>
    </row>
    <row r="14" spans="1:14">
      <c r="A14" s="2" t="s">
        <v>22</v>
      </c>
      <c r="B14" s="3">
        <v>45658</v>
      </c>
      <c r="C14" s="2" t="s">
        <v>15</v>
      </c>
      <c r="D14" s="2" t="s">
        <v>16</v>
      </c>
      <c r="E14" s="2">
        <v>71828.259999999995</v>
      </c>
      <c r="F14" s="2">
        <v>12775</v>
      </c>
      <c r="G14" s="2">
        <v>0.11600000000000001</v>
      </c>
      <c r="H14" s="2">
        <v>30</v>
      </c>
      <c r="I14" s="2">
        <v>81.7</v>
      </c>
      <c r="J14" s="2">
        <v>4.24</v>
      </c>
      <c r="K14" s="2">
        <v>1</v>
      </c>
      <c r="L14" s="2">
        <v>4.2</v>
      </c>
      <c r="M14" s="2">
        <v>922168.6</v>
      </c>
      <c r="N14" s="2">
        <v>107494.53</v>
      </c>
    </row>
    <row r="15" spans="1:14">
      <c r="A15" s="2" t="s">
        <v>22</v>
      </c>
      <c r="B15" s="3">
        <v>45689</v>
      </c>
      <c r="C15" s="2" t="s">
        <v>15</v>
      </c>
      <c r="D15" s="2" t="s">
        <v>16</v>
      </c>
      <c r="E15" s="2">
        <v>55716.82</v>
      </c>
      <c r="F15" s="2">
        <v>10054</v>
      </c>
      <c r="G15" s="2">
        <v>0.14599999999999999</v>
      </c>
      <c r="H15" s="2">
        <v>24</v>
      </c>
      <c r="I15" s="2">
        <v>84.9</v>
      </c>
      <c r="J15" s="2">
        <v>1.06</v>
      </c>
      <c r="K15" s="2">
        <v>0</v>
      </c>
      <c r="L15" s="2">
        <v>4.3</v>
      </c>
      <c r="M15" s="2">
        <v>726606.28</v>
      </c>
      <c r="N15" s="2">
        <v>122729.29</v>
      </c>
    </row>
    <row r="16" spans="1:14">
      <c r="A16" s="2" t="s">
        <v>22</v>
      </c>
      <c r="B16" s="3">
        <v>45717</v>
      </c>
      <c r="C16" s="2" t="s">
        <v>15</v>
      </c>
      <c r="D16" s="2" t="s">
        <v>16</v>
      </c>
      <c r="E16" s="2">
        <v>59909.51</v>
      </c>
      <c r="F16" s="2">
        <v>8895</v>
      </c>
      <c r="G16" s="2">
        <v>0.22800000000000001</v>
      </c>
      <c r="H16" s="2">
        <v>23</v>
      </c>
      <c r="I16" s="2">
        <v>88.8</v>
      </c>
      <c r="J16" s="2">
        <v>0.27</v>
      </c>
      <c r="K16" s="2">
        <v>0</v>
      </c>
      <c r="L16" s="2">
        <v>4.3</v>
      </c>
      <c r="M16" s="2">
        <v>746501.09</v>
      </c>
      <c r="N16" s="2">
        <v>136816.72</v>
      </c>
    </row>
    <row r="17" spans="1:14">
      <c r="A17" s="2" t="s">
        <v>22</v>
      </c>
      <c r="B17" s="3">
        <v>45748</v>
      </c>
      <c r="C17" s="2" t="s">
        <v>15</v>
      </c>
      <c r="D17" s="2" t="s">
        <v>16</v>
      </c>
      <c r="E17" s="2">
        <v>75305.710000000006</v>
      </c>
      <c r="F17" s="2">
        <v>10940</v>
      </c>
      <c r="G17" s="2">
        <v>6.0000000000000001E-3</v>
      </c>
      <c r="H17" s="2">
        <v>26</v>
      </c>
      <c r="I17" s="2">
        <v>76.5</v>
      </c>
      <c r="J17" s="2">
        <v>1.32</v>
      </c>
      <c r="K17" s="2">
        <v>0</v>
      </c>
      <c r="L17" s="2">
        <v>4.5</v>
      </c>
      <c r="M17" s="2">
        <v>834017.02</v>
      </c>
      <c r="N17" s="2">
        <v>114745.03</v>
      </c>
    </row>
    <row r="18" spans="1:14">
      <c r="A18" s="2" t="s">
        <v>23</v>
      </c>
      <c r="B18" s="3">
        <v>45658</v>
      </c>
      <c r="C18" s="2" t="s">
        <v>24</v>
      </c>
      <c r="D18" s="2" t="s">
        <v>16</v>
      </c>
      <c r="E18" s="2">
        <v>48804.22</v>
      </c>
      <c r="F18" s="2">
        <v>7057</v>
      </c>
      <c r="G18" s="2">
        <v>5.0000000000000001E-3</v>
      </c>
      <c r="H18" s="2">
        <v>15</v>
      </c>
      <c r="I18" s="2">
        <v>87.7</v>
      </c>
      <c r="J18" s="2">
        <v>1.22</v>
      </c>
      <c r="K18" s="2">
        <v>0</v>
      </c>
      <c r="L18" s="2">
        <v>3.7</v>
      </c>
      <c r="M18" s="2">
        <v>666152.52</v>
      </c>
      <c r="N18" s="2">
        <v>107490.58</v>
      </c>
    </row>
    <row r="19" spans="1:14">
      <c r="A19" s="2" t="s">
        <v>23</v>
      </c>
      <c r="B19" s="3">
        <v>45689</v>
      </c>
      <c r="C19" s="2" t="s">
        <v>24</v>
      </c>
      <c r="D19" s="2" t="s">
        <v>16</v>
      </c>
      <c r="E19" s="2">
        <v>59117.9</v>
      </c>
      <c r="F19" s="2">
        <v>4263</v>
      </c>
      <c r="G19" s="2">
        <v>0.11899999999999999</v>
      </c>
      <c r="H19" s="2">
        <v>9</v>
      </c>
      <c r="I19" s="2">
        <v>87.6</v>
      </c>
      <c r="J19" s="2">
        <v>4.01</v>
      </c>
      <c r="K19" s="2">
        <v>0</v>
      </c>
      <c r="L19" s="2">
        <v>3.6</v>
      </c>
      <c r="M19" s="2">
        <v>573155.18999999994</v>
      </c>
      <c r="N19" s="2">
        <v>83680.75</v>
      </c>
    </row>
    <row r="20" spans="1:14">
      <c r="A20" s="2" t="s">
        <v>23</v>
      </c>
      <c r="B20" s="3">
        <v>45717</v>
      </c>
      <c r="C20" s="2" t="s">
        <v>24</v>
      </c>
      <c r="D20" s="2" t="s">
        <v>16</v>
      </c>
      <c r="E20" s="2">
        <v>78831.12</v>
      </c>
      <c r="F20" s="2">
        <v>5538</v>
      </c>
      <c r="G20" s="2">
        <v>0</v>
      </c>
      <c r="H20" s="2">
        <v>15</v>
      </c>
      <c r="I20" s="2">
        <v>94.1</v>
      </c>
      <c r="J20" s="2">
        <v>0.2</v>
      </c>
      <c r="K20" s="2">
        <v>0</v>
      </c>
      <c r="L20" s="2">
        <v>3.9</v>
      </c>
      <c r="M20" s="2">
        <v>666573.19999999995</v>
      </c>
      <c r="N20" s="2">
        <v>140641.01999999999</v>
      </c>
    </row>
    <row r="21" spans="1:14">
      <c r="A21" s="2" t="s">
        <v>23</v>
      </c>
      <c r="B21" s="3">
        <v>45748</v>
      </c>
      <c r="C21" s="2" t="s">
        <v>24</v>
      </c>
      <c r="D21" s="2" t="s">
        <v>16</v>
      </c>
      <c r="E21" s="2">
        <v>41441.93</v>
      </c>
      <c r="F21" s="2">
        <v>4865</v>
      </c>
      <c r="G21" s="2">
        <v>0.158</v>
      </c>
      <c r="H21" s="2">
        <v>16</v>
      </c>
      <c r="I21" s="2">
        <v>88.3</v>
      </c>
      <c r="J21" s="2">
        <v>0.5</v>
      </c>
      <c r="K21" s="2">
        <v>0</v>
      </c>
      <c r="L21" s="2">
        <v>4</v>
      </c>
      <c r="M21" s="2">
        <v>591619.94999999995</v>
      </c>
      <c r="N21" s="2">
        <v>99521.35</v>
      </c>
    </row>
    <row r="22" spans="1:14">
      <c r="A22" s="2" t="s">
        <v>25</v>
      </c>
      <c r="B22" s="3">
        <v>45658</v>
      </c>
      <c r="C22" s="2" t="s">
        <v>20</v>
      </c>
      <c r="D22" s="2" t="s">
        <v>16</v>
      </c>
      <c r="E22" s="2">
        <v>30356.28</v>
      </c>
      <c r="F22" s="2">
        <v>2822</v>
      </c>
      <c r="G22" s="2">
        <v>0.23100000000000001</v>
      </c>
      <c r="H22" s="2">
        <v>9</v>
      </c>
      <c r="I22" s="2">
        <v>84.8</v>
      </c>
      <c r="J22" s="2">
        <v>6.95</v>
      </c>
      <c r="K22" s="2">
        <v>0</v>
      </c>
      <c r="L22" s="2">
        <v>5</v>
      </c>
      <c r="M22" s="2">
        <v>415721.82</v>
      </c>
      <c r="N22" s="2">
        <v>61179.15</v>
      </c>
    </row>
    <row r="23" spans="1:14">
      <c r="A23" s="2" t="s">
        <v>25</v>
      </c>
      <c r="B23" s="3">
        <v>45689</v>
      </c>
      <c r="C23" s="2" t="s">
        <v>20</v>
      </c>
      <c r="D23" s="2" t="s">
        <v>16</v>
      </c>
      <c r="E23" s="2">
        <v>33518.879999999997</v>
      </c>
      <c r="F23" s="2">
        <v>2121</v>
      </c>
      <c r="G23" s="2">
        <v>0.17599999999999999</v>
      </c>
      <c r="H23" s="2">
        <v>8</v>
      </c>
      <c r="I23" s="2">
        <v>88.5</v>
      </c>
      <c r="J23" s="2">
        <v>0.2</v>
      </c>
      <c r="K23" s="2">
        <v>0</v>
      </c>
      <c r="L23" s="2">
        <v>5</v>
      </c>
      <c r="M23" s="2">
        <v>491905.13</v>
      </c>
      <c r="N23" s="2">
        <v>79212.259999999995</v>
      </c>
    </row>
    <row r="24" spans="1:14">
      <c r="A24" s="2" t="s">
        <v>25</v>
      </c>
      <c r="B24" s="3">
        <v>45717</v>
      </c>
      <c r="C24" s="2" t="s">
        <v>20</v>
      </c>
      <c r="D24" s="2" t="s">
        <v>16</v>
      </c>
      <c r="E24" s="2">
        <v>42267.37</v>
      </c>
      <c r="F24" s="2">
        <v>3364</v>
      </c>
      <c r="G24" s="2">
        <v>0.16</v>
      </c>
      <c r="H24" s="2">
        <v>13</v>
      </c>
      <c r="I24" s="2">
        <v>82</v>
      </c>
      <c r="J24" s="2">
        <v>1.61</v>
      </c>
      <c r="K24" s="2">
        <v>1</v>
      </c>
      <c r="L24" s="2">
        <v>4.5999999999999996</v>
      </c>
      <c r="M24" s="2">
        <v>555929.4</v>
      </c>
      <c r="N24" s="2">
        <v>115201.76</v>
      </c>
    </row>
    <row r="25" spans="1:14">
      <c r="A25" s="2" t="s">
        <v>25</v>
      </c>
      <c r="B25" s="3">
        <v>45748</v>
      </c>
      <c r="C25" s="2" t="s">
        <v>20</v>
      </c>
      <c r="D25" s="2" t="s">
        <v>16</v>
      </c>
      <c r="E25" s="2">
        <v>62060.43</v>
      </c>
      <c r="F25" s="2">
        <v>2613</v>
      </c>
      <c r="G25" s="2">
        <v>0.216</v>
      </c>
      <c r="H25" s="2">
        <v>12</v>
      </c>
      <c r="I25" s="2">
        <v>92.1</v>
      </c>
      <c r="J25" s="2">
        <v>1.55</v>
      </c>
      <c r="K25" s="2">
        <v>0</v>
      </c>
      <c r="L25" s="2">
        <v>4.7</v>
      </c>
      <c r="M25" s="2">
        <v>565810.99</v>
      </c>
      <c r="N25" s="2">
        <v>77825.460000000006</v>
      </c>
    </row>
    <row r="26" spans="1:14">
      <c r="A26" s="2" t="s">
        <v>26</v>
      </c>
      <c r="B26" s="3">
        <v>45658</v>
      </c>
      <c r="C26" s="2" t="s">
        <v>27</v>
      </c>
      <c r="D26" s="2" t="s">
        <v>28</v>
      </c>
      <c r="E26" s="2">
        <v>57696.69</v>
      </c>
      <c r="F26" s="2">
        <v>10218</v>
      </c>
      <c r="G26" s="2">
        <v>0.121</v>
      </c>
      <c r="H26" s="2">
        <v>25</v>
      </c>
      <c r="I26" s="2">
        <v>94.8</v>
      </c>
      <c r="J26" s="2">
        <v>2.99</v>
      </c>
      <c r="K26" s="2">
        <v>0</v>
      </c>
      <c r="L26" s="2">
        <v>3.5</v>
      </c>
      <c r="M26" s="2">
        <v>811771.14</v>
      </c>
      <c r="N26" s="2">
        <v>148756.24</v>
      </c>
    </row>
    <row r="27" spans="1:14">
      <c r="A27" s="2" t="s">
        <v>26</v>
      </c>
      <c r="B27" s="3">
        <v>45689</v>
      </c>
      <c r="C27" s="2" t="s">
        <v>27</v>
      </c>
      <c r="D27" s="2" t="s">
        <v>28</v>
      </c>
      <c r="E27" s="2">
        <v>172415.52</v>
      </c>
      <c r="F27" s="2">
        <v>8927</v>
      </c>
      <c r="G27" s="2">
        <v>0.14000000000000001</v>
      </c>
      <c r="H27" s="2">
        <v>22</v>
      </c>
      <c r="I27" s="2">
        <v>86.2</v>
      </c>
      <c r="J27" s="2">
        <v>7.04</v>
      </c>
      <c r="K27" s="2">
        <v>0</v>
      </c>
      <c r="L27" s="2">
        <v>3.9</v>
      </c>
      <c r="M27" s="2">
        <v>800451.94</v>
      </c>
      <c r="N27" s="2">
        <v>111572.29</v>
      </c>
    </row>
    <row r="28" spans="1:14">
      <c r="A28" s="2" t="s">
        <v>26</v>
      </c>
      <c r="B28" s="3">
        <v>45717</v>
      </c>
      <c r="C28" s="2" t="s">
        <v>27</v>
      </c>
      <c r="D28" s="2" t="s">
        <v>28</v>
      </c>
      <c r="E28" s="2">
        <v>55270.52</v>
      </c>
      <c r="F28" s="2">
        <v>9315</v>
      </c>
      <c r="G28" s="2">
        <v>0.16900000000000001</v>
      </c>
      <c r="H28" s="2">
        <v>23</v>
      </c>
      <c r="I28" s="2">
        <v>91.9</v>
      </c>
      <c r="J28" s="2">
        <v>4.9400000000000004</v>
      </c>
      <c r="K28" s="2">
        <v>0</v>
      </c>
      <c r="L28" s="2">
        <v>4</v>
      </c>
      <c r="M28" s="2">
        <v>783672.82</v>
      </c>
      <c r="N28" s="2">
        <v>112577.14</v>
      </c>
    </row>
    <row r="29" spans="1:14">
      <c r="A29" s="2" t="s">
        <v>26</v>
      </c>
      <c r="B29" s="3">
        <v>45748</v>
      </c>
      <c r="C29" s="2" t="s">
        <v>27</v>
      </c>
      <c r="D29" s="2" t="s">
        <v>28</v>
      </c>
      <c r="E29" s="2">
        <v>52715.1</v>
      </c>
      <c r="F29" s="2">
        <v>7223</v>
      </c>
      <c r="G29" s="2">
        <v>0.122</v>
      </c>
      <c r="H29" s="2">
        <v>16</v>
      </c>
      <c r="I29" s="2">
        <v>84.2</v>
      </c>
      <c r="J29" s="2">
        <v>16.149999999999999</v>
      </c>
      <c r="K29" s="2">
        <v>0</v>
      </c>
      <c r="L29" s="2">
        <v>3.7</v>
      </c>
      <c r="M29" s="2">
        <v>701641.97</v>
      </c>
      <c r="N29" s="2">
        <v>106111.86</v>
      </c>
    </row>
    <row r="30" spans="1:14">
      <c r="A30" s="2" t="s">
        <v>29</v>
      </c>
      <c r="B30" s="3">
        <v>45658</v>
      </c>
      <c r="C30" s="2" t="s">
        <v>15</v>
      </c>
      <c r="D30" s="2" t="s">
        <v>16</v>
      </c>
      <c r="E30" s="2">
        <v>68600.62</v>
      </c>
      <c r="F30" s="2">
        <v>3988</v>
      </c>
      <c r="G30" s="2">
        <v>0.124</v>
      </c>
      <c r="H30" s="2">
        <v>11</v>
      </c>
      <c r="I30" s="2">
        <v>85</v>
      </c>
      <c r="J30" s="2">
        <v>0.48</v>
      </c>
      <c r="K30" s="2">
        <v>0</v>
      </c>
      <c r="L30" s="2">
        <v>3.6</v>
      </c>
      <c r="M30" s="2">
        <v>511844.41</v>
      </c>
      <c r="N30" s="2">
        <v>72774.44</v>
      </c>
    </row>
    <row r="31" spans="1:14">
      <c r="A31" s="2" t="s">
        <v>29</v>
      </c>
      <c r="B31" s="3">
        <v>45689</v>
      </c>
      <c r="C31" s="2" t="s">
        <v>15</v>
      </c>
      <c r="D31" s="2" t="s">
        <v>16</v>
      </c>
      <c r="E31" s="2">
        <v>63176.73</v>
      </c>
      <c r="F31" s="2">
        <v>2390</v>
      </c>
      <c r="G31" s="2">
        <v>0.216</v>
      </c>
      <c r="H31" s="2">
        <v>9</v>
      </c>
      <c r="I31" s="2">
        <v>87.5</v>
      </c>
      <c r="J31" s="2">
        <v>0.31</v>
      </c>
      <c r="K31" s="2">
        <v>0</v>
      </c>
      <c r="L31" s="2">
        <v>3.1</v>
      </c>
      <c r="M31" s="2">
        <v>537383.79</v>
      </c>
      <c r="N31" s="2">
        <v>63773.27</v>
      </c>
    </row>
    <row r="32" spans="1:14">
      <c r="A32" s="2" t="s">
        <v>29</v>
      </c>
      <c r="B32" s="3">
        <v>45717</v>
      </c>
      <c r="C32" s="2" t="s">
        <v>15</v>
      </c>
      <c r="D32" s="2" t="s">
        <v>16</v>
      </c>
      <c r="E32" s="2">
        <v>44970.080000000002</v>
      </c>
      <c r="F32" s="2">
        <v>2471</v>
      </c>
      <c r="G32" s="2">
        <v>0.13600000000000001</v>
      </c>
      <c r="H32" s="2">
        <v>11</v>
      </c>
      <c r="I32" s="2">
        <v>87.6</v>
      </c>
      <c r="J32" s="2">
        <v>3.01</v>
      </c>
      <c r="K32" s="2">
        <v>1</v>
      </c>
      <c r="L32" s="2">
        <v>3.7</v>
      </c>
      <c r="M32" s="2">
        <v>500173.02</v>
      </c>
      <c r="N32" s="2">
        <v>70982.05</v>
      </c>
    </row>
    <row r="33" spans="1:14">
      <c r="A33" s="2" t="s">
        <v>29</v>
      </c>
      <c r="B33" s="3">
        <v>45748</v>
      </c>
      <c r="C33" s="2" t="s">
        <v>15</v>
      </c>
      <c r="D33" s="2" t="s">
        <v>16</v>
      </c>
      <c r="E33" s="2">
        <v>69816.350000000006</v>
      </c>
      <c r="F33" s="2">
        <v>971</v>
      </c>
      <c r="G33" s="2">
        <v>0.16800000000000001</v>
      </c>
      <c r="H33" s="2">
        <v>5</v>
      </c>
      <c r="I33" s="2">
        <v>89.9</v>
      </c>
      <c r="J33" s="2">
        <v>12.15</v>
      </c>
      <c r="K33" s="2">
        <v>0</v>
      </c>
      <c r="L33" s="2">
        <v>3.6</v>
      </c>
      <c r="M33" s="2">
        <v>427917.38</v>
      </c>
      <c r="N33" s="2">
        <v>81824.31</v>
      </c>
    </row>
    <row r="34" spans="1:14">
      <c r="A34" s="2" t="s">
        <v>30</v>
      </c>
      <c r="B34" s="3">
        <v>45658</v>
      </c>
      <c r="C34" s="2" t="s">
        <v>20</v>
      </c>
      <c r="D34" s="2" t="s">
        <v>16</v>
      </c>
      <c r="E34" s="2">
        <v>54597.83</v>
      </c>
      <c r="F34" s="2">
        <v>9429</v>
      </c>
      <c r="G34" s="2">
        <v>0.188</v>
      </c>
      <c r="H34" s="2">
        <v>21</v>
      </c>
      <c r="I34" s="2">
        <v>83.3</v>
      </c>
      <c r="J34" s="2">
        <v>11.71</v>
      </c>
      <c r="K34" s="2">
        <v>0</v>
      </c>
      <c r="L34" s="2">
        <v>4.2</v>
      </c>
      <c r="M34" s="2">
        <v>641865.03</v>
      </c>
      <c r="N34" s="2">
        <v>81342.58</v>
      </c>
    </row>
    <row r="35" spans="1:14">
      <c r="A35" s="2" t="s">
        <v>30</v>
      </c>
      <c r="B35" s="3">
        <v>45689</v>
      </c>
      <c r="C35" s="2" t="s">
        <v>20</v>
      </c>
      <c r="D35" s="2" t="s">
        <v>16</v>
      </c>
      <c r="E35" s="2">
        <v>73771.91</v>
      </c>
      <c r="F35" s="2">
        <v>11695</v>
      </c>
      <c r="G35" s="2">
        <v>7.0000000000000007E-2</v>
      </c>
      <c r="H35" s="2">
        <v>25</v>
      </c>
      <c r="I35" s="2">
        <v>84.7</v>
      </c>
      <c r="J35" s="2">
        <v>0.62</v>
      </c>
      <c r="K35" s="2">
        <v>0</v>
      </c>
      <c r="L35" s="2">
        <v>3.9</v>
      </c>
      <c r="M35" s="2">
        <v>799477.76000000001</v>
      </c>
      <c r="N35" s="2">
        <v>164974.41</v>
      </c>
    </row>
    <row r="36" spans="1:14">
      <c r="A36" s="2" t="s">
        <v>30</v>
      </c>
      <c r="B36" s="3">
        <v>45717</v>
      </c>
      <c r="C36" s="2" t="s">
        <v>20</v>
      </c>
      <c r="D36" s="2" t="s">
        <v>16</v>
      </c>
      <c r="E36" s="2">
        <v>74413.88</v>
      </c>
      <c r="F36" s="2">
        <v>9449</v>
      </c>
      <c r="G36" s="2">
        <v>3.9E-2</v>
      </c>
      <c r="H36" s="2">
        <v>23</v>
      </c>
      <c r="I36" s="2">
        <v>92.1</v>
      </c>
      <c r="J36" s="2">
        <v>2.12</v>
      </c>
      <c r="K36" s="2">
        <v>0</v>
      </c>
      <c r="L36" s="2">
        <v>3.9</v>
      </c>
      <c r="M36" s="2">
        <v>798952.17</v>
      </c>
      <c r="N36" s="2">
        <v>161499.04</v>
      </c>
    </row>
    <row r="37" spans="1:14">
      <c r="A37" s="2" t="s">
        <v>30</v>
      </c>
      <c r="B37" s="3">
        <v>45748</v>
      </c>
      <c r="C37" s="2" t="s">
        <v>20</v>
      </c>
      <c r="D37" s="2" t="s">
        <v>16</v>
      </c>
      <c r="E37" s="2">
        <v>52483.77</v>
      </c>
      <c r="F37" s="2">
        <v>10453</v>
      </c>
      <c r="G37" s="2">
        <v>0.247</v>
      </c>
      <c r="H37" s="2">
        <v>25</v>
      </c>
      <c r="I37" s="2">
        <v>99</v>
      </c>
      <c r="J37" s="2">
        <v>6.31</v>
      </c>
      <c r="K37" s="2">
        <v>0</v>
      </c>
      <c r="L37" s="2">
        <v>3.9</v>
      </c>
      <c r="M37" s="2">
        <v>800979.78</v>
      </c>
      <c r="N37" s="2">
        <v>149242.26999999999</v>
      </c>
    </row>
    <row r="38" spans="1:14">
      <c r="A38" s="2" t="s">
        <v>31</v>
      </c>
      <c r="B38" s="3">
        <v>45658</v>
      </c>
      <c r="C38" s="2" t="s">
        <v>20</v>
      </c>
      <c r="D38" s="2" t="s">
        <v>28</v>
      </c>
      <c r="E38" s="2">
        <v>75269.87</v>
      </c>
      <c r="F38" s="2">
        <v>8838</v>
      </c>
      <c r="G38" s="2">
        <v>9.1999999999999998E-2</v>
      </c>
      <c r="H38" s="2">
        <v>21</v>
      </c>
      <c r="I38" s="2">
        <v>83.1</v>
      </c>
      <c r="J38" s="2">
        <v>9.56</v>
      </c>
      <c r="K38" s="2">
        <v>1</v>
      </c>
      <c r="L38" s="2">
        <v>3.9</v>
      </c>
      <c r="M38" s="2">
        <v>820593.93</v>
      </c>
      <c r="N38" s="2">
        <v>115860.06</v>
      </c>
    </row>
    <row r="39" spans="1:14">
      <c r="A39" s="2" t="s">
        <v>31</v>
      </c>
      <c r="B39" s="3">
        <v>45689</v>
      </c>
      <c r="C39" s="2" t="s">
        <v>20</v>
      </c>
      <c r="D39" s="2" t="s">
        <v>28</v>
      </c>
      <c r="E39" s="2">
        <v>61245.41</v>
      </c>
      <c r="F39" s="2">
        <v>8156</v>
      </c>
      <c r="G39" s="2">
        <v>0.156</v>
      </c>
      <c r="H39" s="2">
        <v>19</v>
      </c>
      <c r="I39" s="2">
        <v>92.9</v>
      </c>
      <c r="J39" s="2">
        <v>9.0500000000000007</v>
      </c>
      <c r="K39" s="2">
        <v>0</v>
      </c>
      <c r="L39" s="2">
        <v>3.9</v>
      </c>
      <c r="M39" s="2">
        <v>718330.53</v>
      </c>
      <c r="N39" s="2">
        <v>93247.9</v>
      </c>
    </row>
    <row r="40" spans="1:14">
      <c r="A40" s="2" t="s">
        <v>31</v>
      </c>
      <c r="B40" s="3">
        <v>45717</v>
      </c>
      <c r="C40" s="2" t="s">
        <v>20</v>
      </c>
      <c r="D40" s="2" t="s">
        <v>28</v>
      </c>
      <c r="E40" s="2">
        <v>93381.26</v>
      </c>
      <c r="F40" s="2">
        <v>7562</v>
      </c>
      <c r="G40" s="2">
        <v>0.19800000000000001</v>
      </c>
      <c r="H40" s="2">
        <v>19</v>
      </c>
      <c r="I40" s="2">
        <v>82.9</v>
      </c>
      <c r="J40" s="2">
        <v>5.05</v>
      </c>
      <c r="K40" s="2">
        <v>0</v>
      </c>
      <c r="L40" s="2">
        <v>3.9</v>
      </c>
      <c r="M40" s="2">
        <v>736633.4</v>
      </c>
      <c r="N40" s="2">
        <v>115654.66</v>
      </c>
    </row>
    <row r="41" spans="1:14">
      <c r="A41" s="2" t="s">
        <v>31</v>
      </c>
      <c r="B41" s="3">
        <v>45748</v>
      </c>
      <c r="C41" s="2" t="s">
        <v>20</v>
      </c>
      <c r="D41" s="2" t="s">
        <v>28</v>
      </c>
      <c r="E41" s="2">
        <v>65012.19</v>
      </c>
      <c r="F41" s="2">
        <v>9598</v>
      </c>
      <c r="G41" s="2">
        <v>8.5000000000000006E-2</v>
      </c>
      <c r="H41" s="2">
        <v>24</v>
      </c>
      <c r="I41" s="2">
        <v>98.3</v>
      </c>
      <c r="J41" s="2">
        <v>0.89</v>
      </c>
      <c r="K41" s="2">
        <v>0</v>
      </c>
      <c r="L41" s="2">
        <v>3.9</v>
      </c>
      <c r="M41" s="2">
        <v>828623.85</v>
      </c>
      <c r="N41" s="2">
        <v>167320.51999999999</v>
      </c>
    </row>
    <row r="42" spans="1:14">
      <c r="A42" s="2" t="s">
        <v>32</v>
      </c>
      <c r="B42" s="3">
        <v>45658</v>
      </c>
      <c r="C42" s="2" t="s">
        <v>15</v>
      </c>
      <c r="D42" s="2" t="s">
        <v>28</v>
      </c>
      <c r="E42" s="2">
        <v>40462.94</v>
      </c>
      <c r="F42" s="2">
        <v>3660</v>
      </c>
      <c r="G42" s="2">
        <v>0.218</v>
      </c>
      <c r="H42" s="2">
        <v>11</v>
      </c>
      <c r="I42" s="2">
        <v>95.2</v>
      </c>
      <c r="J42" s="2">
        <v>5.57</v>
      </c>
      <c r="K42" s="2">
        <v>0</v>
      </c>
      <c r="L42" s="2">
        <v>3.9</v>
      </c>
      <c r="M42" s="2">
        <v>592195.85</v>
      </c>
      <c r="N42" s="2">
        <v>92291.56</v>
      </c>
    </row>
    <row r="43" spans="1:14">
      <c r="A43" s="2" t="s">
        <v>32</v>
      </c>
      <c r="B43" s="3">
        <v>45689</v>
      </c>
      <c r="C43" s="2" t="s">
        <v>15</v>
      </c>
      <c r="D43" s="2" t="s">
        <v>28</v>
      </c>
      <c r="E43" s="2">
        <v>46123.88</v>
      </c>
      <c r="F43" s="2">
        <v>3227</v>
      </c>
      <c r="G43" s="2">
        <v>0.14299999999999999</v>
      </c>
      <c r="H43" s="2">
        <v>10</v>
      </c>
      <c r="I43" s="2">
        <v>75.400000000000006</v>
      </c>
      <c r="J43" s="2">
        <v>1.06</v>
      </c>
      <c r="K43" s="2">
        <v>0</v>
      </c>
      <c r="L43" s="2">
        <v>3.9</v>
      </c>
      <c r="M43" s="2">
        <v>532644.46</v>
      </c>
      <c r="N43" s="2">
        <v>60681.32</v>
      </c>
    </row>
    <row r="44" spans="1:14">
      <c r="A44" s="2" t="s">
        <v>32</v>
      </c>
      <c r="B44" s="3">
        <v>45717</v>
      </c>
      <c r="C44" s="2" t="s">
        <v>15</v>
      </c>
      <c r="D44" s="2" t="s">
        <v>28</v>
      </c>
      <c r="E44" s="2">
        <v>68077.539999999994</v>
      </c>
      <c r="F44" s="2">
        <v>3360</v>
      </c>
      <c r="G44" s="2">
        <v>0.128</v>
      </c>
      <c r="H44" s="2">
        <v>14</v>
      </c>
      <c r="I44" s="2">
        <v>88.2</v>
      </c>
      <c r="J44" s="2">
        <v>1.24</v>
      </c>
      <c r="K44" s="2">
        <v>1</v>
      </c>
      <c r="L44" s="2">
        <v>3.9</v>
      </c>
      <c r="M44" s="2">
        <v>657429.18000000005</v>
      </c>
      <c r="N44" s="2">
        <v>88919.74</v>
      </c>
    </row>
    <row r="45" spans="1:14">
      <c r="A45" s="2" t="s">
        <v>32</v>
      </c>
      <c r="B45" s="3">
        <v>45748</v>
      </c>
      <c r="C45" s="2" t="s">
        <v>15</v>
      </c>
      <c r="D45" s="2" t="s">
        <v>28</v>
      </c>
      <c r="E45" s="2">
        <v>64882.14</v>
      </c>
      <c r="F45" s="2">
        <v>3642</v>
      </c>
      <c r="G45" s="2">
        <v>1.9E-2</v>
      </c>
      <c r="H45" s="2">
        <v>13</v>
      </c>
      <c r="I45" s="2">
        <v>87.8</v>
      </c>
      <c r="J45" s="2">
        <v>4.5199999999999996</v>
      </c>
      <c r="K45" s="2">
        <v>0</v>
      </c>
      <c r="L45" s="2">
        <v>3.9</v>
      </c>
      <c r="M45" s="2">
        <v>605178</v>
      </c>
      <c r="N45" s="2">
        <v>106958.74</v>
      </c>
    </row>
    <row r="46" spans="1:14">
      <c r="A46" s="2" t="s">
        <v>33</v>
      </c>
      <c r="B46" s="3">
        <v>45658</v>
      </c>
      <c r="C46" s="2" t="s">
        <v>27</v>
      </c>
      <c r="D46" s="2" t="s">
        <v>16</v>
      </c>
      <c r="E46" s="2">
        <v>138855.51</v>
      </c>
      <c r="F46" s="2">
        <v>5145</v>
      </c>
      <c r="G46" s="2">
        <v>0.06</v>
      </c>
      <c r="H46" s="2">
        <v>17</v>
      </c>
      <c r="I46" s="2">
        <v>88.2</v>
      </c>
      <c r="J46" s="2">
        <v>9.58</v>
      </c>
      <c r="K46" s="2">
        <v>0</v>
      </c>
      <c r="L46" s="2">
        <v>3.9</v>
      </c>
      <c r="M46" s="2">
        <v>595467.6</v>
      </c>
      <c r="N46" s="2">
        <v>104276.46</v>
      </c>
    </row>
    <row r="47" spans="1:14">
      <c r="A47" s="2" t="s">
        <v>33</v>
      </c>
      <c r="B47" s="3">
        <v>45689</v>
      </c>
      <c r="C47" s="2" t="s">
        <v>27</v>
      </c>
      <c r="D47" s="2" t="s">
        <v>16</v>
      </c>
      <c r="E47" s="2">
        <v>63630.21</v>
      </c>
      <c r="F47" s="2">
        <v>4460</v>
      </c>
      <c r="G47" s="2">
        <v>0.23499999999999999</v>
      </c>
      <c r="H47" s="2">
        <v>14</v>
      </c>
      <c r="I47" s="2">
        <v>98.6</v>
      </c>
      <c r="J47" s="2">
        <v>5.52</v>
      </c>
      <c r="K47" s="2">
        <v>0</v>
      </c>
      <c r="L47" s="2">
        <v>3.9</v>
      </c>
      <c r="M47" s="2">
        <v>599603.4</v>
      </c>
      <c r="N47" s="2">
        <v>112685.12</v>
      </c>
    </row>
    <row r="48" spans="1:14">
      <c r="A48" s="2" t="s">
        <v>33</v>
      </c>
      <c r="B48" s="3">
        <v>45717</v>
      </c>
      <c r="C48" s="2" t="s">
        <v>27</v>
      </c>
      <c r="D48" s="2" t="s">
        <v>16</v>
      </c>
      <c r="E48" s="2">
        <v>50043.65</v>
      </c>
      <c r="F48" s="2">
        <v>3804</v>
      </c>
      <c r="G48" s="2">
        <v>0.113</v>
      </c>
      <c r="H48" s="2">
        <v>11</v>
      </c>
      <c r="I48" s="2">
        <v>90.9</v>
      </c>
      <c r="J48" s="2">
        <v>2.7</v>
      </c>
      <c r="K48" s="2">
        <v>1</v>
      </c>
      <c r="L48" s="2">
        <v>3.9</v>
      </c>
      <c r="M48" s="2">
        <v>614800.09</v>
      </c>
      <c r="N48" s="2">
        <v>100044.2</v>
      </c>
    </row>
    <row r="49" spans="1:14">
      <c r="A49" s="2" t="s">
        <v>33</v>
      </c>
      <c r="B49" s="3">
        <v>45748</v>
      </c>
      <c r="C49" s="2" t="s">
        <v>27</v>
      </c>
      <c r="D49" s="2" t="s">
        <v>16</v>
      </c>
      <c r="E49" s="2">
        <v>42093.84</v>
      </c>
      <c r="F49" s="2">
        <v>4074</v>
      </c>
      <c r="G49" s="2">
        <v>0.155</v>
      </c>
      <c r="H49" s="2">
        <v>15</v>
      </c>
      <c r="I49" s="2">
        <v>88</v>
      </c>
      <c r="J49" s="2">
        <v>9.64</v>
      </c>
      <c r="K49" s="2">
        <v>0</v>
      </c>
      <c r="L49" s="2">
        <v>3.9</v>
      </c>
      <c r="M49" s="2">
        <v>585365.73</v>
      </c>
      <c r="N49" s="2">
        <v>81011.520000000004</v>
      </c>
    </row>
    <row r="50" spans="1:14">
      <c r="A50" s="2" t="s">
        <v>34</v>
      </c>
      <c r="B50" s="3">
        <v>45658</v>
      </c>
      <c r="C50" s="2" t="s">
        <v>20</v>
      </c>
      <c r="D50" s="2" t="s">
        <v>28</v>
      </c>
      <c r="E50" s="2">
        <v>46624.05</v>
      </c>
      <c r="F50" s="2">
        <v>5104</v>
      </c>
      <c r="G50" s="2">
        <v>0.109</v>
      </c>
      <c r="H50" s="2">
        <v>11</v>
      </c>
      <c r="I50" s="2">
        <v>97.3</v>
      </c>
      <c r="J50" s="2">
        <v>3.49</v>
      </c>
      <c r="K50" s="2">
        <v>1</v>
      </c>
      <c r="L50" s="2">
        <v>3.9</v>
      </c>
      <c r="M50" s="2">
        <v>622811.74</v>
      </c>
      <c r="N50" s="2">
        <v>109978.35</v>
      </c>
    </row>
    <row r="51" spans="1:14">
      <c r="A51" s="2" t="s">
        <v>34</v>
      </c>
      <c r="B51" s="3">
        <v>45689</v>
      </c>
      <c r="C51" s="2" t="s">
        <v>20</v>
      </c>
      <c r="D51" s="2" t="s">
        <v>28</v>
      </c>
      <c r="E51" s="2">
        <v>49710.29</v>
      </c>
      <c r="F51" s="2">
        <v>5559</v>
      </c>
      <c r="G51" s="2">
        <v>0.218</v>
      </c>
      <c r="H51" s="2">
        <v>14</v>
      </c>
      <c r="I51" s="2">
        <v>71</v>
      </c>
      <c r="J51" s="2">
        <v>9.11</v>
      </c>
      <c r="K51" s="2">
        <v>0</v>
      </c>
      <c r="L51" s="2">
        <v>3.9</v>
      </c>
      <c r="M51" s="2">
        <v>603297.56999999995</v>
      </c>
      <c r="N51" s="2">
        <v>60592.26</v>
      </c>
    </row>
    <row r="52" spans="1:14">
      <c r="A52" s="2" t="s">
        <v>34</v>
      </c>
      <c r="B52" s="3">
        <v>45717</v>
      </c>
      <c r="C52" s="2" t="s">
        <v>20</v>
      </c>
      <c r="D52" s="2" t="s">
        <v>28</v>
      </c>
      <c r="E52" s="2">
        <v>48287.85</v>
      </c>
      <c r="F52" s="2">
        <v>5150</v>
      </c>
      <c r="G52" s="2">
        <v>8.0000000000000002E-3</v>
      </c>
      <c r="H52" s="2">
        <v>12</v>
      </c>
      <c r="I52" s="2">
        <v>80.400000000000006</v>
      </c>
      <c r="J52" s="2">
        <v>7.4</v>
      </c>
      <c r="K52" s="2">
        <v>0</v>
      </c>
      <c r="L52" s="2">
        <v>3.9</v>
      </c>
      <c r="M52" s="2">
        <v>625672.86</v>
      </c>
      <c r="N52" s="2">
        <v>118020.12</v>
      </c>
    </row>
    <row r="53" spans="1:14">
      <c r="A53" s="2" t="s">
        <v>34</v>
      </c>
      <c r="B53" s="3">
        <v>45748</v>
      </c>
      <c r="C53" s="2" t="s">
        <v>20</v>
      </c>
      <c r="D53" s="2" t="s">
        <v>28</v>
      </c>
      <c r="E53" s="2">
        <v>65312.49</v>
      </c>
      <c r="F53" s="2">
        <v>7189</v>
      </c>
      <c r="G53" s="2">
        <v>0.05</v>
      </c>
      <c r="H53" s="2">
        <v>19</v>
      </c>
      <c r="I53" s="2">
        <v>93.7</v>
      </c>
      <c r="J53" s="2">
        <v>7.16</v>
      </c>
      <c r="K53" s="2">
        <v>0</v>
      </c>
      <c r="L53" s="2">
        <v>3.9</v>
      </c>
      <c r="M53" s="2">
        <v>773815.14</v>
      </c>
      <c r="N53" s="2">
        <v>133948.39000000001</v>
      </c>
    </row>
    <row r="54" spans="1:14">
      <c r="A54" s="2" t="s">
        <v>35</v>
      </c>
      <c r="B54" s="3">
        <v>45658</v>
      </c>
      <c r="C54" s="2" t="s">
        <v>27</v>
      </c>
      <c r="D54" s="2" t="s">
        <v>18</v>
      </c>
      <c r="E54" s="2">
        <v>53015.46</v>
      </c>
      <c r="F54" s="2">
        <v>3279</v>
      </c>
      <c r="G54" s="2">
        <v>8.6999999999999994E-2</v>
      </c>
      <c r="H54" s="2">
        <v>9</v>
      </c>
      <c r="I54" s="2">
        <v>84.3</v>
      </c>
      <c r="J54" s="2">
        <v>22.02</v>
      </c>
      <c r="K54" s="2">
        <v>0</v>
      </c>
      <c r="L54" s="2">
        <v>3.9</v>
      </c>
      <c r="M54" s="2">
        <v>463534.25</v>
      </c>
      <c r="N54" s="2">
        <v>81834.539999999994</v>
      </c>
    </row>
    <row r="55" spans="1:14">
      <c r="A55" s="2" t="s">
        <v>35</v>
      </c>
      <c r="B55" s="3">
        <v>45689</v>
      </c>
      <c r="C55" s="2" t="s">
        <v>27</v>
      </c>
      <c r="D55" s="2" t="s">
        <v>18</v>
      </c>
      <c r="E55" s="2">
        <v>99874.01</v>
      </c>
      <c r="F55" s="2">
        <v>5887</v>
      </c>
      <c r="G55" s="2">
        <v>0.26200000000000001</v>
      </c>
      <c r="H55" s="2">
        <v>14</v>
      </c>
      <c r="I55" s="2">
        <v>88.7</v>
      </c>
      <c r="J55" s="2">
        <v>6.18</v>
      </c>
      <c r="K55" s="2">
        <v>0</v>
      </c>
      <c r="L55" s="2">
        <v>3.9</v>
      </c>
      <c r="M55" s="2">
        <v>746677.75</v>
      </c>
      <c r="N55" s="2">
        <v>122437.84</v>
      </c>
    </row>
    <row r="56" spans="1:14">
      <c r="A56" s="2" t="s">
        <v>35</v>
      </c>
      <c r="B56" s="3">
        <v>45717</v>
      </c>
      <c r="C56" s="2" t="s">
        <v>27</v>
      </c>
      <c r="D56" s="2" t="s">
        <v>18</v>
      </c>
      <c r="E56" s="2">
        <v>81195.5</v>
      </c>
      <c r="F56" s="2">
        <v>5516</v>
      </c>
      <c r="G56" s="2">
        <v>0.106</v>
      </c>
      <c r="H56" s="2">
        <v>14</v>
      </c>
      <c r="I56" s="2">
        <v>88</v>
      </c>
      <c r="J56" s="2">
        <v>1.76</v>
      </c>
      <c r="K56" s="2">
        <v>0</v>
      </c>
      <c r="L56" s="2">
        <v>3.9</v>
      </c>
      <c r="M56" s="2">
        <v>720852.5</v>
      </c>
      <c r="N56" s="2">
        <v>98565.62</v>
      </c>
    </row>
    <row r="57" spans="1:14">
      <c r="A57" s="2" t="s">
        <v>35</v>
      </c>
      <c r="B57" s="3">
        <v>45748</v>
      </c>
      <c r="C57" s="2" t="s">
        <v>27</v>
      </c>
      <c r="D57" s="2" t="s">
        <v>18</v>
      </c>
      <c r="E57" s="2">
        <v>27808.6</v>
      </c>
      <c r="F57" s="2">
        <v>2863</v>
      </c>
      <c r="G57" s="2">
        <v>0.08</v>
      </c>
      <c r="H57" s="2">
        <v>13</v>
      </c>
      <c r="I57" s="2">
        <v>89.3</v>
      </c>
      <c r="J57" s="2">
        <v>0.47</v>
      </c>
      <c r="K57" s="2">
        <v>0</v>
      </c>
      <c r="L57" s="2">
        <v>3.9</v>
      </c>
      <c r="M57" s="2">
        <v>487464.91</v>
      </c>
      <c r="N57" s="2">
        <v>64562.26</v>
      </c>
    </row>
    <row r="58" spans="1:14">
      <c r="A58" s="2" t="s">
        <v>36</v>
      </c>
      <c r="B58" s="3">
        <v>45658</v>
      </c>
      <c r="C58" s="2" t="s">
        <v>15</v>
      </c>
      <c r="D58" s="2" t="s">
        <v>21</v>
      </c>
      <c r="E58" s="2">
        <v>19365.060000000001</v>
      </c>
      <c r="F58" s="2">
        <v>2378</v>
      </c>
      <c r="G58" s="2">
        <v>0</v>
      </c>
      <c r="H58" s="2">
        <v>12</v>
      </c>
      <c r="I58" s="2">
        <v>94.8</v>
      </c>
      <c r="J58" s="2">
        <v>0.2</v>
      </c>
      <c r="K58" s="2">
        <v>0</v>
      </c>
      <c r="L58" s="2">
        <v>3.9</v>
      </c>
      <c r="M58" s="2">
        <v>518049.26</v>
      </c>
      <c r="N58" s="2">
        <v>108592.49</v>
      </c>
    </row>
    <row r="59" spans="1:14">
      <c r="A59" s="2" t="s">
        <v>36</v>
      </c>
      <c r="B59" s="3">
        <v>45689</v>
      </c>
      <c r="C59" s="2" t="s">
        <v>15</v>
      </c>
      <c r="D59" s="2" t="s">
        <v>21</v>
      </c>
      <c r="E59" s="2">
        <v>59405.68</v>
      </c>
      <c r="F59" s="2">
        <v>2515</v>
      </c>
      <c r="G59" s="2">
        <v>3.9E-2</v>
      </c>
      <c r="H59" s="2">
        <v>12</v>
      </c>
      <c r="I59" s="2">
        <v>76</v>
      </c>
      <c r="J59" s="2">
        <v>5.1100000000000003</v>
      </c>
      <c r="K59" s="2">
        <v>0</v>
      </c>
      <c r="L59" s="2">
        <v>3.9</v>
      </c>
      <c r="M59" s="2">
        <v>500298.48</v>
      </c>
      <c r="N59" s="2">
        <v>73461.320000000007</v>
      </c>
    </row>
    <row r="60" spans="1:14">
      <c r="A60" s="2" t="s">
        <v>36</v>
      </c>
      <c r="B60" s="3">
        <v>45717</v>
      </c>
      <c r="C60" s="2" t="s">
        <v>15</v>
      </c>
      <c r="D60" s="2" t="s">
        <v>21</v>
      </c>
      <c r="E60" s="2">
        <v>118910.48</v>
      </c>
      <c r="F60" s="2">
        <v>4022</v>
      </c>
      <c r="G60" s="2">
        <v>0.13700000000000001</v>
      </c>
      <c r="H60" s="2">
        <v>11</v>
      </c>
      <c r="I60" s="2">
        <v>87.1</v>
      </c>
      <c r="J60" s="2">
        <v>0.2</v>
      </c>
      <c r="K60" s="2">
        <v>0</v>
      </c>
      <c r="L60" s="2">
        <v>3.9</v>
      </c>
      <c r="M60" s="2">
        <v>617291.15</v>
      </c>
      <c r="N60" s="2">
        <v>117782</v>
      </c>
    </row>
    <row r="61" spans="1:14">
      <c r="A61" s="2" t="s">
        <v>36</v>
      </c>
      <c r="B61" s="3">
        <v>45748</v>
      </c>
      <c r="C61" s="2" t="s">
        <v>15</v>
      </c>
      <c r="D61" s="2" t="s">
        <v>21</v>
      </c>
      <c r="E61" s="2">
        <v>52952.12</v>
      </c>
      <c r="F61" s="2">
        <v>4377</v>
      </c>
      <c r="G61" s="2">
        <v>9.1999999999999998E-2</v>
      </c>
      <c r="H61" s="2">
        <v>14</v>
      </c>
      <c r="I61" s="2">
        <v>88.6</v>
      </c>
      <c r="J61" s="2">
        <v>13.59</v>
      </c>
      <c r="K61" s="2">
        <v>0</v>
      </c>
      <c r="L61" s="2">
        <v>3.9</v>
      </c>
      <c r="M61" s="2">
        <v>553756.43000000005</v>
      </c>
      <c r="N61" s="2">
        <v>86166.77</v>
      </c>
    </row>
    <row r="62" spans="1:14">
      <c r="A62" s="2" t="s">
        <v>37</v>
      </c>
      <c r="B62" s="3">
        <v>45658</v>
      </c>
      <c r="C62" s="2" t="s">
        <v>24</v>
      </c>
      <c r="D62" s="2" t="s">
        <v>18</v>
      </c>
      <c r="E62" s="2">
        <v>74907.98</v>
      </c>
      <c r="F62" s="2">
        <v>5306</v>
      </c>
      <c r="G62" s="2">
        <v>6.2E-2</v>
      </c>
      <c r="H62" s="2">
        <v>16</v>
      </c>
      <c r="I62" s="2">
        <v>95.6</v>
      </c>
      <c r="J62" s="2">
        <v>1.02</v>
      </c>
      <c r="K62" s="2">
        <v>0</v>
      </c>
      <c r="L62" s="2">
        <v>3.9</v>
      </c>
      <c r="M62" s="2">
        <v>749559.71</v>
      </c>
      <c r="N62" s="2">
        <v>144522.53</v>
      </c>
    </row>
    <row r="63" spans="1:14">
      <c r="A63" s="2" t="s">
        <v>37</v>
      </c>
      <c r="B63" s="3">
        <v>45689</v>
      </c>
      <c r="C63" s="2" t="s">
        <v>24</v>
      </c>
      <c r="D63" s="2" t="s">
        <v>18</v>
      </c>
      <c r="E63" s="2">
        <v>37284.660000000003</v>
      </c>
      <c r="F63" s="2">
        <v>3928</v>
      </c>
      <c r="G63" s="2">
        <v>7.3999999999999996E-2</v>
      </c>
      <c r="H63" s="2">
        <v>12</v>
      </c>
      <c r="I63" s="2">
        <v>86.5</v>
      </c>
      <c r="J63" s="2">
        <v>1.64</v>
      </c>
      <c r="K63" s="2">
        <v>0</v>
      </c>
      <c r="L63" s="2">
        <v>3.9</v>
      </c>
      <c r="M63" s="2">
        <v>615966.48</v>
      </c>
      <c r="N63" s="2">
        <v>91509.38</v>
      </c>
    </row>
    <row r="64" spans="1:14">
      <c r="A64" s="2" t="s">
        <v>37</v>
      </c>
      <c r="B64" s="3">
        <v>45717</v>
      </c>
      <c r="C64" s="2" t="s">
        <v>24</v>
      </c>
      <c r="D64" s="2" t="s">
        <v>18</v>
      </c>
      <c r="E64" s="2">
        <v>50343.19</v>
      </c>
      <c r="F64" s="2">
        <v>3845</v>
      </c>
      <c r="G64" s="2">
        <v>0.113</v>
      </c>
      <c r="H64" s="2">
        <v>9</v>
      </c>
      <c r="I64" s="2">
        <v>88.7</v>
      </c>
      <c r="J64" s="2">
        <v>5.15</v>
      </c>
      <c r="K64" s="2">
        <v>0</v>
      </c>
      <c r="L64" s="2">
        <v>3.9</v>
      </c>
      <c r="M64" s="2">
        <v>572011.19999999995</v>
      </c>
      <c r="N64" s="2">
        <v>101409.68</v>
      </c>
    </row>
    <row r="65" spans="1:14">
      <c r="A65" s="2" t="s">
        <v>37</v>
      </c>
      <c r="B65" s="3">
        <v>45748</v>
      </c>
      <c r="C65" s="2" t="s">
        <v>24</v>
      </c>
      <c r="D65" s="2" t="s">
        <v>18</v>
      </c>
      <c r="E65" s="2">
        <v>74954.47</v>
      </c>
      <c r="F65" s="2">
        <v>6620</v>
      </c>
      <c r="G65" s="2">
        <v>5.3999999999999999E-2</v>
      </c>
      <c r="H65" s="2">
        <v>17</v>
      </c>
      <c r="I65" s="2">
        <v>91.1</v>
      </c>
      <c r="J65" s="2">
        <v>1.1100000000000001</v>
      </c>
      <c r="K65" s="2">
        <v>0</v>
      </c>
      <c r="L65" s="2">
        <v>3.9</v>
      </c>
      <c r="M65" s="2">
        <v>761860.19</v>
      </c>
      <c r="N65" s="2">
        <v>133279.38</v>
      </c>
    </row>
    <row r="66" spans="1:14">
      <c r="A66" s="2" t="s">
        <v>38</v>
      </c>
      <c r="B66" s="3">
        <v>45658</v>
      </c>
      <c r="C66" s="2" t="s">
        <v>27</v>
      </c>
      <c r="D66" s="2" t="s">
        <v>18</v>
      </c>
      <c r="E66" s="2">
        <v>70040.31</v>
      </c>
      <c r="F66" s="2">
        <v>9175</v>
      </c>
      <c r="G66" s="2">
        <v>0.107</v>
      </c>
      <c r="H66" s="2">
        <v>23</v>
      </c>
      <c r="I66" s="2">
        <v>95.1</v>
      </c>
      <c r="J66" s="2">
        <v>6.08</v>
      </c>
      <c r="K66" s="2">
        <v>1</v>
      </c>
      <c r="L66" s="2">
        <v>3.9</v>
      </c>
      <c r="M66" s="2">
        <v>784502.68</v>
      </c>
      <c r="N66" s="2">
        <v>129519.72</v>
      </c>
    </row>
    <row r="67" spans="1:14">
      <c r="A67" s="2" t="s">
        <v>38</v>
      </c>
      <c r="B67" s="3">
        <v>45689</v>
      </c>
      <c r="C67" s="2" t="s">
        <v>27</v>
      </c>
      <c r="D67" s="2" t="s">
        <v>18</v>
      </c>
      <c r="E67" s="2">
        <v>51148.69</v>
      </c>
      <c r="F67" s="2">
        <v>7940</v>
      </c>
      <c r="G67" s="2">
        <v>0.156</v>
      </c>
      <c r="H67" s="2">
        <v>18</v>
      </c>
      <c r="I67" s="2">
        <v>93.3</v>
      </c>
      <c r="J67" s="2">
        <v>10.91</v>
      </c>
      <c r="K67" s="2">
        <v>0</v>
      </c>
      <c r="L67" s="2">
        <v>3.9</v>
      </c>
      <c r="M67" s="2">
        <v>717141.55</v>
      </c>
      <c r="N67" s="2">
        <v>134013.60999999999</v>
      </c>
    </row>
    <row r="68" spans="1:14">
      <c r="A68" s="2" t="s">
        <v>38</v>
      </c>
      <c r="B68" s="3">
        <v>45717</v>
      </c>
      <c r="C68" s="2" t="s">
        <v>27</v>
      </c>
      <c r="D68" s="2" t="s">
        <v>18</v>
      </c>
      <c r="E68" s="2">
        <v>79346.100000000006</v>
      </c>
      <c r="F68" s="2">
        <v>9628</v>
      </c>
      <c r="G68" s="2">
        <v>0.10199999999999999</v>
      </c>
      <c r="H68" s="2">
        <v>20</v>
      </c>
      <c r="I68" s="2">
        <v>99</v>
      </c>
      <c r="J68" s="2">
        <v>19.010000000000002</v>
      </c>
      <c r="K68" s="2">
        <v>1</v>
      </c>
      <c r="L68" s="2">
        <v>3.9</v>
      </c>
      <c r="M68" s="2">
        <v>685379.08</v>
      </c>
      <c r="N68" s="2">
        <v>106898.82</v>
      </c>
    </row>
    <row r="69" spans="1:14">
      <c r="A69" s="2" t="s">
        <v>38</v>
      </c>
      <c r="B69" s="3">
        <v>45748</v>
      </c>
      <c r="C69" s="2" t="s">
        <v>27</v>
      </c>
      <c r="D69" s="2" t="s">
        <v>18</v>
      </c>
      <c r="E69" s="2">
        <v>42018.400000000001</v>
      </c>
      <c r="F69" s="2">
        <v>8296</v>
      </c>
      <c r="G69" s="2">
        <v>0.115</v>
      </c>
      <c r="H69" s="2">
        <v>17</v>
      </c>
      <c r="I69" s="2">
        <v>91.8</v>
      </c>
      <c r="J69" s="2">
        <v>0.77</v>
      </c>
      <c r="K69" s="2">
        <v>0</v>
      </c>
      <c r="L69" s="2">
        <v>3.9</v>
      </c>
      <c r="M69" s="2">
        <v>740496.65</v>
      </c>
      <c r="N69" s="2">
        <v>128020.9</v>
      </c>
    </row>
    <row r="70" spans="1:14">
      <c r="A70" s="2" t="s">
        <v>39</v>
      </c>
      <c r="B70" s="3">
        <v>45658</v>
      </c>
      <c r="C70" s="2" t="s">
        <v>15</v>
      </c>
      <c r="D70" s="2" t="s">
        <v>18</v>
      </c>
      <c r="E70" s="2">
        <v>70937.240000000005</v>
      </c>
      <c r="F70" s="2">
        <v>3595</v>
      </c>
      <c r="G70" s="2">
        <v>0.14099999999999999</v>
      </c>
      <c r="H70" s="2">
        <v>11</v>
      </c>
      <c r="I70" s="2">
        <v>88.9</v>
      </c>
      <c r="J70" s="2">
        <v>2.83</v>
      </c>
      <c r="K70" s="2">
        <v>1</v>
      </c>
      <c r="L70" s="2">
        <v>3.9</v>
      </c>
      <c r="M70" s="2">
        <v>661927.14</v>
      </c>
      <c r="N70" s="2">
        <v>79218.570000000007</v>
      </c>
    </row>
    <row r="71" spans="1:14">
      <c r="A71" s="2" t="s">
        <v>39</v>
      </c>
      <c r="B71" s="3">
        <v>45689</v>
      </c>
      <c r="C71" s="2" t="s">
        <v>15</v>
      </c>
      <c r="D71" s="2" t="s">
        <v>18</v>
      </c>
      <c r="E71" s="2">
        <v>36813.449999999997</v>
      </c>
      <c r="F71" s="2">
        <v>2834</v>
      </c>
      <c r="G71" s="2">
        <v>0.191</v>
      </c>
      <c r="H71" s="2">
        <v>11</v>
      </c>
      <c r="I71" s="2">
        <v>81.8</v>
      </c>
      <c r="J71" s="2">
        <v>2.33</v>
      </c>
      <c r="K71" s="2">
        <v>0</v>
      </c>
      <c r="L71" s="2">
        <v>3.9</v>
      </c>
      <c r="M71" s="2">
        <v>479050.5</v>
      </c>
      <c r="N71" s="2">
        <v>53651.11</v>
      </c>
    </row>
    <row r="72" spans="1:14">
      <c r="A72" s="2" t="s">
        <v>39</v>
      </c>
      <c r="B72" s="3">
        <v>45717</v>
      </c>
      <c r="C72" s="2" t="s">
        <v>15</v>
      </c>
      <c r="D72" s="2" t="s">
        <v>18</v>
      </c>
      <c r="E72" s="2">
        <v>60571.82</v>
      </c>
      <c r="F72" s="2">
        <v>3193</v>
      </c>
      <c r="G72" s="2">
        <v>0.19700000000000001</v>
      </c>
      <c r="H72" s="2">
        <v>7</v>
      </c>
      <c r="I72" s="2">
        <v>99</v>
      </c>
      <c r="J72" s="2">
        <v>1.43</v>
      </c>
      <c r="K72" s="2">
        <v>0</v>
      </c>
      <c r="L72" s="2">
        <v>3.9</v>
      </c>
      <c r="M72" s="2">
        <v>605023.87</v>
      </c>
      <c r="N72" s="2">
        <v>98545.81</v>
      </c>
    </row>
    <row r="73" spans="1:14">
      <c r="A73" s="2" t="s">
        <v>39</v>
      </c>
      <c r="B73" s="3">
        <v>45748</v>
      </c>
      <c r="C73" s="2" t="s">
        <v>15</v>
      </c>
      <c r="D73" s="2" t="s">
        <v>18</v>
      </c>
      <c r="E73" s="2">
        <v>55081.16</v>
      </c>
      <c r="F73" s="2">
        <v>5485</v>
      </c>
      <c r="G73" s="2">
        <v>3.5999999999999997E-2</v>
      </c>
      <c r="H73" s="2">
        <v>12</v>
      </c>
      <c r="I73" s="2">
        <v>88</v>
      </c>
      <c r="J73" s="2">
        <v>4.01</v>
      </c>
      <c r="K73" s="2">
        <v>0</v>
      </c>
      <c r="L73" s="2">
        <v>3.9</v>
      </c>
      <c r="M73" s="2">
        <v>674774.09</v>
      </c>
      <c r="N73" s="2">
        <v>141917.59</v>
      </c>
    </row>
    <row r="74" spans="1:14">
      <c r="A74" s="2" t="s">
        <v>40</v>
      </c>
      <c r="B74" s="3">
        <v>45658</v>
      </c>
      <c r="C74" s="2" t="s">
        <v>15</v>
      </c>
      <c r="D74" s="2" t="s">
        <v>16</v>
      </c>
      <c r="E74" s="2">
        <v>46201.46</v>
      </c>
      <c r="F74" s="2">
        <v>5918</v>
      </c>
      <c r="G74" s="2">
        <v>0.27700000000000002</v>
      </c>
      <c r="H74" s="2">
        <v>13</v>
      </c>
      <c r="I74" s="2">
        <v>78.8</v>
      </c>
      <c r="J74" s="2">
        <v>4.01</v>
      </c>
      <c r="K74" s="2">
        <v>0</v>
      </c>
      <c r="L74" s="2">
        <v>3.9</v>
      </c>
      <c r="M74" s="2">
        <v>616069.41</v>
      </c>
      <c r="N74" s="2">
        <v>54453.99</v>
      </c>
    </row>
    <row r="75" spans="1:14">
      <c r="A75" s="2" t="s">
        <v>40</v>
      </c>
      <c r="B75" s="3">
        <v>45689</v>
      </c>
      <c r="C75" s="2" t="s">
        <v>15</v>
      </c>
      <c r="D75" s="2" t="s">
        <v>16</v>
      </c>
      <c r="E75" s="2">
        <v>53762.92</v>
      </c>
      <c r="F75" s="2">
        <v>6821</v>
      </c>
      <c r="G75" s="2">
        <v>6.6000000000000003E-2</v>
      </c>
      <c r="H75" s="2">
        <v>19</v>
      </c>
      <c r="I75" s="2">
        <v>94.6</v>
      </c>
      <c r="J75" s="2">
        <v>4.01</v>
      </c>
      <c r="K75" s="2">
        <v>0</v>
      </c>
      <c r="L75" s="2">
        <v>3.9</v>
      </c>
      <c r="M75" s="2">
        <v>630829.93999999994</v>
      </c>
      <c r="N75" s="2">
        <v>117090.02</v>
      </c>
    </row>
    <row r="76" spans="1:14">
      <c r="A76" s="2" t="s">
        <v>40</v>
      </c>
      <c r="B76" s="3">
        <v>45717</v>
      </c>
      <c r="C76" s="2" t="s">
        <v>15</v>
      </c>
      <c r="D76" s="2" t="s">
        <v>16</v>
      </c>
      <c r="E76" s="2">
        <v>70144.78</v>
      </c>
      <c r="F76" s="2">
        <v>6806</v>
      </c>
      <c r="G76" s="2">
        <v>0.17799999999999999</v>
      </c>
      <c r="H76" s="2">
        <v>20</v>
      </c>
      <c r="I76" s="2">
        <v>93.1</v>
      </c>
      <c r="J76" s="2">
        <v>4.01</v>
      </c>
      <c r="K76" s="2">
        <v>1</v>
      </c>
      <c r="L76" s="2">
        <v>3.9</v>
      </c>
      <c r="M76" s="2">
        <v>788087.68</v>
      </c>
      <c r="N76" s="2">
        <v>116803.42</v>
      </c>
    </row>
    <row r="77" spans="1:14">
      <c r="A77" s="2" t="s">
        <v>40</v>
      </c>
      <c r="B77" s="3">
        <v>45748</v>
      </c>
      <c r="C77" s="2" t="s">
        <v>15</v>
      </c>
      <c r="D77" s="2" t="s">
        <v>16</v>
      </c>
      <c r="E77" s="2">
        <v>58749.63</v>
      </c>
      <c r="F77" s="2">
        <v>8252</v>
      </c>
      <c r="G77" s="2">
        <v>0.20300000000000001</v>
      </c>
      <c r="H77" s="2">
        <v>20</v>
      </c>
      <c r="I77" s="2">
        <v>85.2</v>
      </c>
      <c r="J77" s="2">
        <v>4.01</v>
      </c>
      <c r="K77" s="2">
        <v>0</v>
      </c>
      <c r="L77" s="2">
        <v>3.9</v>
      </c>
      <c r="M77" s="2">
        <v>680840.36</v>
      </c>
      <c r="N77" s="2">
        <v>68007.679999999993</v>
      </c>
    </row>
    <row r="78" spans="1:14">
      <c r="A78" s="2" t="s">
        <v>41</v>
      </c>
      <c r="B78" s="3">
        <v>45658</v>
      </c>
      <c r="C78" s="2" t="s">
        <v>24</v>
      </c>
      <c r="D78" s="2" t="s">
        <v>18</v>
      </c>
      <c r="E78" s="2">
        <v>56973.18</v>
      </c>
      <c r="F78" s="2">
        <v>6662</v>
      </c>
      <c r="G78" s="2">
        <v>0.1</v>
      </c>
      <c r="H78" s="2">
        <v>15</v>
      </c>
      <c r="I78" s="2">
        <v>77.7</v>
      </c>
      <c r="J78" s="2">
        <v>4.01</v>
      </c>
      <c r="K78" s="2">
        <v>1</v>
      </c>
      <c r="L78" s="2">
        <v>3.9</v>
      </c>
      <c r="M78" s="2">
        <v>643657.47</v>
      </c>
      <c r="N78" s="2">
        <v>87022.45</v>
      </c>
    </row>
    <row r="79" spans="1:14">
      <c r="A79" s="2" t="s">
        <v>41</v>
      </c>
      <c r="B79" s="3">
        <v>45689</v>
      </c>
      <c r="C79" s="2" t="s">
        <v>24</v>
      </c>
      <c r="D79" s="2" t="s">
        <v>18</v>
      </c>
      <c r="E79" s="2">
        <v>54872.82</v>
      </c>
      <c r="F79" s="2">
        <v>5962</v>
      </c>
      <c r="G79" s="2">
        <v>6.4000000000000001E-2</v>
      </c>
      <c r="H79" s="2">
        <v>12</v>
      </c>
      <c r="I79" s="2">
        <v>85.4</v>
      </c>
      <c r="J79" s="2">
        <v>4.01</v>
      </c>
      <c r="K79" s="2">
        <v>0</v>
      </c>
      <c r="L79" s="2">
        <v>3.9</v>
      </c>
      <c r="M79" s="2">
        <v>691112.6</v>
      </c>
      <c r="N79" s="2">
        <v>109212.83</v>
      </c>
    </row>
    <row r="80" spans="1:14">
      <c r="A80" s="2" t="s">
        <v>41</v>
      </c>
      <c r="B80" s="3">
        <v>45717</v>
      </c>
      <c r="C80" s="2" t="s">
        <v>24</v>
      </c>
      <c r="D80" s="2" t="s">
        <v>18</v>
      </c>
      <c r="E80" s="2">
        <v>80562.81</v>
      </c>
      <c r="F80" s="2">
        <v>7470</v>
      </c>
      <c r="G80" s="2">
        <v>0.17199999999999999</v>
      </c>
      <c r="H80" s="2">
        <v>16</v>
      </c>
      <c r="I80" s="2">
        <v>83.5</v>
      </c>
      <c r="J80" s="2">
        <v>4.01</v>
      </c>
      <c r="K80" s="2">
        <v>0</v>
      </c>
      <c r="L80" s="2">
        <v>3.9</v>
      </c>
      <c r="M80" s="2">
        <v>776922.17</v>
      </c>
      <c r="N80" s="2">
        <v>150701.93</v>
      </c>
    </row>
    <row r="81" spans="1:14">
      <c r="A81" s="2" t="s">
        <v>41</v>
      </c>
      <c r="B81" s="3">
        <v>45748</v>
      </c>
      <c r="C81" s="2" t="s">
        <v>24</v>
      </c>
      <c r="D81" s="2" t="s">
        <v>18</v>
      </c>
      <c r="E81" s="2">
        <v>77999.899999999994</v>
      </c>
      <c r="F81" s="2">
        <v>5974</v>
      </c>
      <c r="G81" s="2">
        <v>0.252</v>
      </c>
      <c r="H81" s="2">
        <v>14</v>
      </c>
      <c r="I81" s="2">
        <v>81.3</v>
      </c>
      <c r="J81" s="2">
        <v>4.01</v>
      </c>
      <c r="K81" s="2">
        <v>0</v>
      </c>
      <c r="L81" s="2">
        <v>3.9</v>
      </c>
      <c r="M81" s="2">
        <v>636561.34</v>
      </c>
      <c r="N81" s="2">
        <v>93861.06</v>
      </c>
    </row>
    <row r="82" spans="1:14">
      <c r="A82" s="2" t="s">
        <v>42</v>
      </c>
      <c r="B82" s="3">
        <v>45658</v>
      </c>
      <c r="C82" s="2" t="s">
        <v>27</v>
      </c>
      <c r="D82" s="2" t="s">
        <v>28</v>
      </c>
      <c r="E82" s="2">
        <v>60881.01</v>
      </c>
      <c r="F82" s="2">
        <v>5410</v>
      </c>
      <c r="G82" s="2">
        <v>0.17899999999999999</v>
      </c>
      <c r="H82" s="2">
        <v>15</v>
      </c>
      <c r="I82" s="2">
        <v>83.9</v>
      </c>
      <c r="J82" s="2">
        <v>4.01</v>
      </c>
      <c r="K82" s="2">
        <v>0</v>
      </c>
      <c r="L82" s="2">
        <v>3.9</v>
      </c>
      <c r="M82" s="2">
        <v>621369.57999999996</v>
      </c>
      <c r="N82" s="2">
        <v>85493.64</v>
      </c>
    </row>
    <row r="83" spans="1:14">
      <c r="A83" s="2" t="s">
        <v>42</v>
      </c>
      <c r="B83" s="3">
        <v>45689</v>
      </c>
      <c r="C83" s="2" t="s">
        <v>27</v>
      </c>
      <c r="D83" s="2" t="s">
        <v>28</v>
      </c>
      <c r="E83" s="2">
        <v>60628.38</v>
      </c>
      <c r="F83" s="2">
        <v>4451</v>
      </c>
      <c r="G83" s="2">
        <v>9.5000000000000001E-2</v>
      </c>
      <c r="H83" s="2">
        <v>10</v>
      </c>
      <c r="I83" s="2">
        <v>89.6</v>
      </c>
      <c r="J83" s="2">
        <v>4.01</v>
      </c>
      <c r="K83" s="2">
        <v>0</v>
      </c>
      <c r="L83" s="2">
        <v>3.9</v>
      </c>
      <c r="M83" s="2">
        <v>682208.01</v>
      </c>
      <c r="N83" s="2">
        <v>110318.84</v>
      </c>
    </row>
    <row r="84" spans="1:14">
      <c r="A84" s="2" t="s">
        <v>42</v>
      </c>
      <c r="B84" s="3">
        <v>45717</v>
      </c>
      <c r="C84" s="2" t="s">
        <v>27</v>
      </c>
      <c r="D84" s="2" t="s">
        <v>28</v>
      </c>
      <c r="E84" s="2">
        <v>72731.14</v>
      </c>
      <c r="F84" s="2">
        <v>4644</v>
      </c>
      <c r="G84" s="2">
        <v>8.4000000000000005E-2</v>
      </c>
      <c r="H84" s="2">
        <v>15</v>
      </c>
      <c r="I84" s="2">
        <v>87.1</v>
      </c>
      <c r="J84" s="2">
        <v>4.01</v>
      </c>
      <c r="K84" s="2">
        <v>0</v>
      </c>
      <c r="L84" s="2">
        <v>3.9</v>
      </c>
      <c r="M84" s="2">
        <v>727241.86</v>
      </c>
      <c r="N84" s="2">
        <v>155810.29999999999</v>
      </c>
    </row>
    <row r="85" spans="1:14">
      <c r="A85" s="2" t="s">
        <v>42</v>
      </c>
      <c r="B85" s="3">
        <v>45748</v>
      </c>
      <c r="C85" s="2" t="s">
        <v>27</v>
      </c>
      <c r="D85" s="2" t="s">
        <v>28</v>
      </c>
      <c r="E85" s="2">
        <v>36475.71</v>
      </c>
      <c r="F85" s="2">
        <v>3559</v>
      </c>
      <c r="G85" s="2">
        <v>0.03</v>
      </c>
      <c r="H85" s="2">
        <v>8</v>
      </c>
      <c r="I85" s="2">
        <v>83.6</v>
      </c>
      <c r="J85" s="2">
        <v>4.01</v>
      </c>
      <c r="K85" s="2">
        <v>0</v>
      </c>
      <c r="L85" s="2">
        <v>3.9</v>
      </c>
      <c r="M85" s="2">
        <v>569100.78</v>
      </c>
      <c r="N85" s="2">
        <v>104808.78</v>
      </c>
    </row>
    <row r="86" spans="1:14">
      <c r="A86" s="2" t="s">
        <v>43</v>
      </c>
      <c r="B86" s="3">
        <v>45658</v>
      </c>
      <c r="C86" s="2" t="s">
        <v>27</v>
      </c>
      <c r="D86" s="2" t="s">
        <v>18</v>
      </c>
      <c r="E86" s="2">
        <v>55388.11</v>
      </c>
      <c r="F86" s="2">
        <v>3091</v>
      </c>
      <c r="G86" s="2">
        <v>0.108</v>
      </c>
      <c r="H86" s="2">
        <v>7</v>
      </c>
      <c r="I86" s="2">
        <v>85.4</v>
      </c>
      <c r="J86" s="2">
        <v>4.01</v>
      </c>
      <c r="K86" s="2">
        <v>0</v>
      </c>
      <c r="L86" s="2">
        <v>3.9</v>
      </c>
      <c r="M86" s="2">
        <v>574436.29</v>
      </c>
      <c r="N86" s="2">
        <v>80271.990000000005</v>
      </c>
    </row>
    <row r="87" spans="1:14">
      <c r="A87" s="2" t="s">
        <v>43</v>
      </c>
      <c r="B87" s="3">
        <v>45689</v>
      </c>
      <c r="C87" s="2" t="s">
        <v>27</v>
      </c>
      <c r="D87" s="2" t="s">
        <v>18</v>
      </c>
      <c r="E87" s="2">
        <v>88443.77</v>
      </c>
      <c r="F87" s="2">
        <v>4004</v>
      </c>
      <c r="G87" s="2">
        <v>0.20599999999999999</v>
      </c>
      <c r="H87" s="2">
        <v>11</v>
      </c>
      <c r="I87" s="2">
        <v>91.9</v>
      </c>
      <c r="J87" s="2">
        <v>4.01</v>
      </c>
      <c r="K87" s="2">
        <v>0</v>
      </c>
      <c r="L87" s="2">
        <v>3.9</v>
      </c>
      <c r="M87" s="2">
        <v>611766.72</v>
      </c>
      <c r="N87" s="2">
        <v>88275.61</v>
      </c>
    </row>
    <row r="88" spans="1:14">
      <c r="A88" s="2" t="s">
        <v>43</v>
      </c>
      <c r="B88" s="3">
        <v>45717</v>
      </c>
      <c r="C88" s="2" t="s">
        <v>27</v>
      </c>
      <c r="D88" s="2" t="s">
        <v>18</v>
      </c>
      <c r="E88" s="2">
        <v>78231.91</v>
      </c>
      <c r="F88" s="2">
        <v>3788</v>
      </c>
      <c r="G88" s="2">
        <v>5.8999999999999997E-2</v>
      </c>
      <c r="H88" s="2">
        <v>11</v>
      </c>
      <c r="I88" s="2">
        <v>88.5</v>
      </c>
      <c r="J88" s="2">
        <v>4.01</v>
      </c>
      <c r="K88" s="2">
        <v>0</v>
      </c>
      <c r="L88" s="2">
        <v>3.9</v>
      </c>
      <c r="M88" s="2">
        <v>614596.31999999995</v>
      </c>
      <c r="N88" s="2">
        <v>131199.41</v>
      </c>
    </row>
    <row r="89" spans="1:14">
      <c r="A89" s="2" t="s">
        <v>43</v>
      </c>
      <c r="B89" s="3">
        <v>45748</v>
      </c>
      <c r="C89" s="2" t="s">
        <v>27</v>
      </c>
      <c r="D89" s="2" t="s">
        <v>18</v>
      </c>
      <c r="E89" s="2">
        <v>18996.32</v>
      </c>
      <c r="F89" s="2">
        <v>1260</v>
      </c>
      <c r="G89" s="2">
        <v>0.14499999999999999</v>
      </c>
      <c r="H89" s="2">
        <v>9</v>
      </c>
      <c r="I89" s="2">
        <v>86.4</v>
      </c>
      <c r="J89" s="2">
        <v>4.01</v>
      </c>
      <c r="K89" s="2">
        <v>0</v>
      </c>
      <c r="L89" s="2">
        <v>3.9</v>
      </c>
      <c r="M89" s="2">
        <v>450711.92</v>
      </c>
      <c r="N89" s="2">
        <v>90043.76</v>
      </c>
    </row>
    <row r="90" spans="1:14">
      <c r="A90" s="2" t="s">
        <v>44</v>
      </c>
      <c r="B90" s="3">
        <v>45658</v>
      </c>
      <c r="C90" s="2" t="s">
        <v>24</v>
      </c>
      <c r="D90" s="2" t="s">
        <v>28</v>
      </c>
      <c r="E90" s="2">
        <v>50517.94</v>
      </c>
      <c r="F90" s="2">
        <v>7024</v>
      </c>
      <c r="G90" s="2">
        <v>2.9000000000000001E-2</v>
      </c>
      <c r="H90" s="2">
        <v>18</v>
      </c>
      <c r="I90" s="2">
        <v>79.2</v>
      </c>
      <c r="J90" s="2">
        <v>4.01</v>
      </c>
      <c r="K90" s="2">
        <v>1</v>
      </c>
      <c r="L90" s="2">
        <v>3.9</v>
      </c>
      <c r="M90" s="2">
        <v>711213.46</v>
      </c>
      <c r="N90" s="2">
        <v>105863.26</v>
      </c>
    </row>
    <row r="91" spans="1:14">
      <c r="A91" s="2" t="s">
        <v>44</v>
      </c>
      <c r="B91" s="3">
        <v>45689</v>
      </c>
      <c r="C91" s="2" t="s">
        <v>24</v>
      </c>
      <c r="D91" s="2" t="s">
        <v>28</v>
      </c>
      <c r="E91" s="2">
        <v>141540.29</v>
      </c>
      <c r="F91" s="2">
        <v>5400</v>
      </c>
      <c r="G91" s="2">
        <v>1.2999999999999999E-2</v>
      </c>
      <c r="H91" s="2">
        <v>12</v>
      </c>
      <c r="I91" s="2">
        <v>87</v>
      </c>
      <c r="J91" s="2">
        <v>4.01</v>
      </c>
      <c r="K91" s="2">
        <v>0</v>
      </c>
      <c r="L91" s="2">
        <v>3.9</v>
      </c>
      <c r="M91" s="2">
        <v>627171.9</v>
      </c>
      <c r="N91" s="2">
        <v>105772.75</v>
      </c>
    </row>
    <row r="92" spans="1:14">
      <c r="A92" s="2" t="s">
        <v>44</v>
      </c>
      <c r="B92" s="3">
        <v>45717</v>
      </c>
      <c r="C92" s="2" t="s">
        <v>24</v>
      </c>
      <c r="D92" s="2" t="s">
        <v>28</v>
      </c>
      <c r="E92" s="2">
        <v>82116.19</v>
      </c>
      <c r="F92" s="2">
        <v>5988</v>
      </c>
      <c r="G92" s="2">
        <v>0.04</v>
      </c>
      <c r="H92" s="2">
        <v>17</v>
      </c>
      <c r="I92" s="2">
        <v>91.8</v>
      </c>
      <c r="J92" s="2">
        <v>4.01</v>
      </c>
      <c r="K92" s="2">
        <v>0</v>
      </c>
      <c r="L92" s="2">
        <v>3.9</v>
      </c>
      <c r="M92" s="2">
        <v>739852.58</v>
      </c>
      <c r="N92" s="2">
        <v>129386.43</v>
      </c>
    </row>
    <row r="93" spans="1:14">
      <c r="A93" s="2" t="s">
        <v>44</v>
      </c>
      <c r="B93" s="3">
        <v>45748</v>
      </c>
      <c r="C93" s="2" t="s">
        <v>24</v>
      </c>
      <c r="D93" s="2" t="s">
        <v>28</v>
      </c>
      <c r="E93" s="2">
        <v>31207.51</v>
      </c>
      <c r="F93" s="2">
        <v>3701</v>
      </c>
      <c r="G93" s="2">
        <v>4.2999999999999997E-2</v>
      </c>
      <c r="H93" s="2">
        <v>11</v>
      </c>
      <c r="I93" s="2">
        <v>84.7</v>
      </c>
      <c r="J93" s="2">
        <v>4.01</v>
      </c>
      <c r="K93" s="2">
        <v>0</v>
      </c>
      <c r="L93" s="2">
        <v>3.9</v>
      </c>
      <c r="M93" s="2">
        <v>586307.22</v>
      </c>
      <c r="N93" s="2">
        <v>73927.850000000006</v>
      </c>
    </row>
    <row r="94" spans="1:14">
      <c r="A94" s="2" t="s">
        <v>45</v>
      </c>
      <c r="B94" s="3">
        <v>45658</v>
      </c>
      <c r="C94" s="2" t="s">
        <v>27</v>
      </c>
      <c r="D94" s="2" t="s">
        <v>16</v>
      </c>
      <c r="E94" s="2">
        <v>38966.589999999997</v>
      </c>
      <c r="F94" s="2">
        <v>4509</v>
      </c>
      <c r="G94" s="2">
        <v>0.19400000000000001</v>
      </c>
      <c r="H94" s="2">
        <v>14</v>
      </c>
      <c r="I94" s="2">
        <v>91.1</v>
      </c>
      <c r="J94" s="2">
        <v>4.01</v>
      </c>
      <c r="K94" s="2">
        <v>0</v>
      </c>
      <c r="L94" s="2">
        <v>3.9</v>
      </c>
      <c r="M94" s="2">
        <v>585937.48</v>
      </c>
      <c r="N94" s="2">
        <v>82624.2</v>
      </c>
    </row>
    <row r="95" spans="1:14">
      <c r="A95" s="2" t="s">
        <v>45</v>
      </c>
      <c r="B95" s="3">
        <v>45689</v>
      </c>
      <c r="C95" s="2" t="s">
        <v>27</v>
      </c>
      <c r="D95" s="2" t="s">
        <v>16</v>
      </c>
      <c r="E95" s="2">
        <v>67439.3</v>
      </c>
      <c r="F95" s="2">
        <v>6477</v>
      </c>
      <c r="G95" s="2">
        <v>0</v>
      </c>
      <c r="H95" s="2">
        <v>16</v>
      </c>
      <c r="I95" s="2">
        <v>90.9</v>
      </c>
      <c r="J95" s="2">
        <v>4.01</v>
      </c>
      <c r="K95" s="2">
        <v>0</v>
      </c>
      <c r="L95" s="2">
        <v>3.9</v>
      </c>
      <c r="M95" s="2">
        <v>753473.55</v>
      </c>
      <c r="N95" s="2">
        <v>151527.22</v>
      </c>
    </row>
    <row r="96" spans="1:14">
      <c r="A96" s="2" t="s">
        <v>45</v>
      </c>
      <c r="B96" s="3">
        <v>45717</v>
      </c>
      <c r="C96" s="2" t="s">
        <v>27</v>
      </c>
      <c r="D96" s="2" t="s">
        <v>16</v>
      </c>
      <c r="E96" s="2">
        <v>86421.88</v>
      </c>
      <c r="F96" s="2">
        <v>7970</v>
      </c>
      <c r="G96" s="2">
        <v>7.2999999999999995E-2</v>
      </c>
      <c r="H96" s="2">
        <v>17</v>
      </c>
      <c r="I96" s="2">
        <v>91.3</v>
      </c>
      <c r="J96" s="2">
        <v>4.01</v>
      </c>
      <c r="K96" s="2">
        <v>0</v>
      </c>
      <c r="L96" s="2">
        <v>3.9</v>
      </c>
      <c r="M96" s="2">
        <v>838250.32</v>
      </c>
      <c r="N96" s="2">
        <v>122939.34</v>
      </c>
    </row>
    <row r="97" spans="1:14">
      <c r="A97" s="2" t="s">
        <v>45</v>
      </c>
      <c r="B97" s="3">
        <v>45748</v>
      </c>
      <c r="C97" s="2" t="s">
        <v>27</v>
      </c>
      <c r="D97" s="2" t="s">
        <v>16</v>
      </c>
      <c r="E97" s="2">
        <v>9534.65</v>
      </c>
      <c r="F97" s="2">
        <v>6057</v>
      </c>
      <c r="G97" s="2">
        <v>7.3999999999999996E-2</v>
      </c>
      <c r="H97" s="2">
        <v>15</v>
      </c>
      <c r="I97" s="2">
        <v>94.1</v>
      </c>
      <c r="J97" s="2">
        <v>4.01</v>
      </c>
      <c r="K97" s="2">
        <v>0</v>
      </c>
      <c r="L97" s="2">
        <v>3.9</v>
      </c>
      <c r="M97" s="2">
        <v>607898.12</v>
      </c>
      <c r="N97" s="2">
        <v>135404.85</v>
      </c>
    </row>
    <row r="98" spans="1:14">
      <c r="A98" s="2" t="s">
        <v>46</v>
      </c>
      <c r="B98" s="3">
        <v>45658</v>
      </c>
      <c r="C98" s="2" t="s">
        <v>27</v>
      </c>
      <c r="D98" s="2" t="s">
        <v>28</v>
      </c>
      <c r="E98" s="2">
        <v>61132.07</v>
      </c>
      <c r="F98" s="2">
        <v>6394</v>
      </c>
      <c r="G98" s="2">
        <v>0.16300000000000001</v>
      </c>
      <c r="H98" s="2">
        <v>19</v>
      </c>
      <c r="I98" s="2">
        <v>91</v>
      </c>
      <c r="J98" s="2">
        <v>4.01</v>
      </c>
      <c r="K98" s="2">
        <v>0</v>
      </c>
      <c r="L98" s="2">
        <v>3.9</v>
      </c>
      <c r="M98" s="2">
        <v>691113.62</v>
      </c>
      <c r="N98" s="2">
        <v>135145.44</v>
      </c>
    </row>
    <row r="99" spans="1:14">
      <c r="A99" s="2" t="s">
        <v>46</v>
      </c>
      <c r="B99" s="3">
        <v>45689</v>
      </c>
      <c r="C99" s="2" t="s">
        <v>27</v>
      </c>
      <c r="D99" s="2" t="s">
        <v>28</v>
      </c>
      <c r="E99" s="2">
        <v>78839.39</v>
      </c>
      <c r="F99" s="2">
        <v>5150</v>
      </c>
      <c r="G99" s="2">
        <v>0.17100000000000001</v>
      </c>
      <c r="H99" s="2">
        <v>13</v>
      </c>
      <c r="I99" s="2">
        <v>85.8</v>
      </c>
      <c r="J99" s="2">
        <v>4.01</v>
      </c>
      <c r="K99" s="2">
        <v>0</v>
      </c>
      <c r="L99" s="2">
        <v>3.9</v>
      </c>
      <c r="M99" s="2">
        <v>735509.4</v>
      </c>
      <c r="N99" s="2">
        <v>83895.96</v>
      </c>
    </row>
    <row r="100" spans="1:14">
      <c r="A100" s="2" t="s">
        <v>46</v>
      </c>
      <c r="B100" s="3">
        <v>45717</v>
      </c>
      <c r="C100" s="2" t="s">
        <v>27</v>
      </c>
      <c r="D100" s="2" t="s">
        <v>28</v>
      </c>
      <c r="E100" s="2">
        <v>38752.800000000003</v>
      </c>
      <c r="F100" s="2">
        <v>4712</v>
      </c>
      <c r="G100" s="2">
        <v>7.4999999999999997E-2</v>
      </c>
      <c r="H100" s="2">
        <v>15</v>
      </c>
      <c r="I100" s="2">
        <v>89.7</v>
      </c>
      <c r="J100" s="2">
        <v>4.01</v>
      </c>
      <c r="K100" s="2">
        <v>0</v>
      </c>
      <c r="L100" s="2">
        <v>3.9</v>
      </c>
      <c r="M100" s="2">
        <v>605775.32999999996</v>
      </c>
      <c r="N100" s="2">
        <v>107194.6</v>
      </c>
    </row>
    <row r="101" spans="1:14">
      <c r="A101" s="2" t="s">
        <v>46</v>
      </c>
      <c r="B101" s="3">
        <v>45748</v>
      </c>
      <c r="C101" s="2" t="s">
        <v>27</v>
      </c>
      <c r="D101" s="2" t="s">
        <v>28</v>
      </c>
      <c r="E101" s="2">
        <v>55101.1</v>
      </c>
      <c r="F101" s="2">
        <v>5281</v>
      </c>
      <c r="G101" s="2">
        <v>0.189</v>
      </c>
      <c r="H101" s="2">
        <v>11</v>
      </c>
      <c r="I101" s="2">
        <v>91</v>
      </c>
      <c r="J101" s="2">
        <v>4.01</v>
      </c>
      <c r="K101" s="2">
        <v>0</v>
      </c>
      <c r="L101" s="2">
        <v>3.9</v>
      </c>
      <c r="M101" s="2">
        <v>675177.68</v>
      </c>
      <c r="N101" s="2">
        <v>105628.68</v>
      </c>
    </row>
    <row r="102" spans="1:14">
      <c r="A102" s="2" t="s">
        <v>47</v>
      </c>
      <c r="B102" s="3">
        <v>45658</v>
      </c>
      <c r="C102" s="2" t="s">
        <v>15</v>
      </c>
      <c r="D102" s="2" t="s">
        <v>28</v>
      </c>
      <c r="E102" s="2">
        <v>53084.76</v>
      </c>
      <c r="F102" s="2">
        <v>3642</v>
      </c>
      <c r="G102" s="2">
        <v>0.15</v>
      </c>
      <c r="H102" s="2">
        <v>12</v>
      </c>
      <c r="I102" s="2">
        <v>91.4</v>
      </c>
      <c r="J102" s="2">
        <v>4.01</v>
      </c>
      <c r="K102" s="2">
        <v>0</v>
      </c>
      <c r="L102" s="2">
        <v>3.9</v>
      </c>
      <c r="M102" s="2">
        <v>635181.35</v>
      </c>
      <c r="N102" s="2">
        <v>83341.25</v>
      </c>
    </row>
    <row r="103" spans="1:14">
      <c r="A103" s="2" t="s">
        <v>47</v>
      </c>
      <c r="B103" s="3">
        <v>45689</v>
      </c>
      <c r="C103" s="2" t="s">
        <v>15</v>
      </c>
      <c r="D103" s="2" t="s">
        <v>28</v>
      </c>
      <c r="E103" s="2">
        <v>63101.59</v>
      </c>
      <c r="F103" s="2">
        <v>4373</v>
      </c>
      <c r="G103" s="2">
        <v>0.17299999999999999</v>
      </c>
      <c r="H103" s="2">
        <v>14</v>
      </c>
      <c r="I103" s="2">
        <v>90.4</v>
      </c>
      <c r="J103" s="2">
        <v>4.01</v>
      </c>
      <c r="K103" s="2">
        <v>0</v>
      </c>
      <c r="L103" s="2">
        <v>3.9</v>
      </c>
      <c r="M103" s="2">
        <v>586626.93999999994</v>
      </c>
      <c r="N103" s="2">
        <v>86498.55</v>
      </c>
    </row>
    <row r="104" spans="1:14">
      <c r="A104" s="2" t="s">
        <v>47</v>
      </c>
      <c r="B104" s="3">
        <v>45717</v>
      </c>
      <c r="C104" s="2" t="s">
        <v>15</v>
      </c>
      <c r="D104" s="2" t="s">
        <v>28</v>
      </c>
      <c r="E104" s="2">
        <v>90084.4</v>
      </c>
      <c r="F104" s="2">
        <v>6832</v>
      </c>
      <c r="G104" s="2">
        <v>0.185</v>
      </c>
      <c r="H104" s="2">
        <v>14</v>
      </c>
      <c r="I104" s="2">
        <v>80.5</v>
      </c>
      <c r="J104" s="2">
        <v>4.01</v>
      </c>
      <c r="K104" s="2">
        <v>1</v>
      </c>
      <c r="L104" s="2">
        <v>3.9</v>
      </c>
      <c r="M104" s="2">
        <v>740102.64</v>
      </c>
      <c r="N104" s="2">
        <v>114299.07</v>
      </c>
    </row>
    <row r="105" spans="1:14">
      <c r="A105" s="2" t="s">
        <v>47</v>
      </c>
      <c r="B105" s="3">
        <v>45748</v>
      </c>
      <c r="C105" s="2" t="s">
        <v>15</v>
      </c>
      <c r="D105" s="2" t="s">
        <v>28</v>
      </c>
      <c r="E105" s="2">
        <v>32266.639999999999</v>
      </c>
      <c r="F105" s="2">
        <v>2414</v>
      </c>
      <c r="G105" s="2">
        <v>0.08</v>
      </c>
      <c r="H105" s="2">
        <v>7</v>
      </c>
      <c r="I105" s="2">
        <v>92.1</v>
      </c>
      <c r="J105" s="2">
        <v>4.01</v>
      </c>
      <c r="K105" s="2">
        <v>0</v>
      </c>
      <c r="L105" s="2">
        <v>3.9</v>
      </c>
      <c r="M105" s="2">
        <v>625514.04</v>
      </c>
      <c r="N105" s="2">
        <v>120685.08</v>
      </c>
    </row>
    <row r="106" spans="1:14">
      <c r="A106" s="2" t="s">
        <v>48</v>
      </c>
      <c r="B106" s="3">
        <v>45658</v>
      </c>
      <c r="C106" s="2" t="s">
        <v>27</v>
      </c>
      <c r="D106" s="2" t="s">
        <v>18</v>
      </c>
      <c r="E106" s="2">
        <v>57919.07</v>
      </c>
      <c r="F106" s="2">
        <v>7374</v>
      </c>
      <c r="G106" s="2">
        <v>0.10299999999999999</v>
      </c>
      <c r="H106" s="2">
        <v>21</v>
      </c>
      <c r="I106" s="2">
        <v>82.3</v>
      </c>
      <c r="J106" s="2">
        <v>4.01</v>
      </c>
      <c r="K106" s="2">
        <v>0</v>
      </c>
      <c r="L106" s="2">
        <v>3.9</v>
      </c>
      <c r="M106" s="2">
        <v>727227.2</v>
      </c>
      <c r="N106" s="2">
        <v>121292.01</v>
      </c>
    </row>
    <row r="107" spans="1:14">
      <c r="A107" s="2" t="s">
        <v>48</v>
      </c>
      <c r="B107" s="3">
        <v>45689</v>
      </c>
      <c r="C107" s="2" t="s">
        <v>27</v>
      </c>
      <c r="D107" s="2" t="s">
        <v>18</v>
      </c>
      <c r="E107" s="2">
        <v>74679.350000000006</v>
      </c>
      <c r="F107" s="2">
        <v>8739</v>
      </c>
      <c r="G107" s="2">
        <v>5.6000000000000001E-2</v>
      </c>
      <c r="H107" s="2">
        <v>21</v>
      </c>
      <c r="I107" s="2">
        <v>91.8</v>
      </c>
      <c r="J107" s="2">
        <v>4.01</v>
      </c>
      <c r="K107" s="2">
        <v>0</v>
      </c>
      <c r="L107" s="2">
        <v>3.9</v>
      </c>
      <c r="M107" s="2">
        <v>783797.89</v>
      </c>
      <c r="N107" s="2">
        <v>157620.70000000001</v>
      </c>
    </row>
    <row r="108" spans="1:14">
      <c r="A108" s="2" t="s">
        <v>48</v>
      </c>
      <c r="B108" s="3">
        <v>45717</v>
      </c>
      <c r="C108" s="2" t="s">
        <v>27</v>
      </c>
      <c r="D108" s="2" t="s">
        <v>18</v>
      </c>
      <c r="E108" s="2">
        <v>64294.23</v>
      </c>
      <c r="F108" s="2">
        <v>6992</v>
      </c>
      <c r="G108" s="2">
        <v>0.13300000000000001</v>
      </c>
      <c r="H108" s="2">
        <v>14</v>
      </c>
      <c r="I108" s="2">
        <v>94.1</v>
      </c>
      <c r="J108" s="2">
        <v>4.01</v>
      </c>
      <c r="K108" s="2">
        <v>0</v>
      </c>
      <c r="L108" s="2">
        <v>3.9</v>
      </c>
      <c r="M108" s="2">
        <v>795153.84</v>
      </c>
      <c r="N108" s="2">
        <v>143194.21</v>
      </c>
    </row>
    <row r="109" spans="1:14">
      <c r="A109" s="2" t="s">
        <v>48</v>
      </c>
      <c r="B109" s="3">
        <v>45748</v>
      </c>
      <c r="C109" s="2" t="s">
        <v>27</v>
      </c>
      <c r="D109" s="2" t="s">
        <v>18</v>
      </c>
      <c r="E109" s="2">
        <v>31042.03</v>
      </c>
      <c r="F109" s="2">
        <v>7107</v>
      </c>
      <c r="G109" s="2">
        <v>5.0999999999999997E-2</v>
      </c>
      <c r="H109" s="2">
        <v>15</v>
      </c>
      <c r="I109" s="2">
        <v>87</v>
      </c>
      <c r="J109" s="2">
        <v>4.01</v>
      </c>
      <c r="K109" s="2">
        <v>0</v>
      </c>
      <c r="L109" s="2">
        <v>3.9</v>
      </c>
      <c r="M109" s="2">
        <v>665594.93999999994</v>
      </c>
      <c r="N109" s="2">
        <v>127597.34</v>
      </c>
    </row>
    <row r="110" spans="1:14">
      <c r="A110" s="2" t="s">
        <v>49</v>
      </c>
      <c r="B110" s="3">
        <v>45658</v>
      </c>
      <c r="C110" s="2" t="s">
        <v>15</v>
      </c>
      <c r="D110" s="2" t="s">
        <v>28</v>
      </c>
      <c r="E110" s="2">
        <v>75265.02</v>
      </c>
      <c r="F110" s="2">
        <v>6975</v>
      </c>
      <c r="G110" s="2">
        <v>0.157</v>
      </c>
      <c r="H110" s="2">
        <v>20</v>
      </c>
      <c r="I110" s="2">
        <v>73.8</v>
      </c>
      <c r="J110" s="2">
        <v>4.01</v>
      </c>
      <c r="K110" s="2">
        <v>1</v>
      </c>
      <c r="L110" s="2">
        <v>3.9</v>
      </c>
      <c r="M110" s="2">
        <v>709478.39</v>
      </c>
      <c r="N110" s="2">
        <v>71294.27</v>
      </c>
    </row>
    <row r="111" spans="1:14">
      <c r="A111" s="2" t="s">
        <v>49</v>
      </c>
      <c r="B111" s="3">
        <v>45689</v>
      </c>
      <c r="C111" s="2" t="s">
        <v>15</v>
      </c>
      <c r="D111" s="2" t="s">
        <v>28</v>
      </c>
      <c r="E111" s="2">
        <v>69411.7</v>
      </c>
      <c r="F111" s="2">
        <v>5493</v>
      </c>
      <c r="G111" s="2">
        <v>0.29199999999999998</v>
      </c>
      <c r="H111" s="2">
        <v>13</v>
      </c>
      <c r="I111" s="2">
        <v>86.5</v>
      </c>
      <c r="J111" s="2">
        <v>4.01</v>
      </c>
      <c r="K111" s="2">
        <v>0</v>
      </c>
      <c r="L111" s="2">
        <v>3.9</v>
      </c>
      <c r="M111" s="2">
        <v>664162.49</v>
      </c>
      <c r="N111" s="2">
        <v>98291.06</v>
      </c>
    </row>
    <row r="112" spans="1:14">
      <c r="A112" s="2" t="s">
        <v>49</v>
      </c>
      <c r="B112" s="3">
        <v>45717</v>
      </c>
      <c r="C112" s="2" t="s">
        <v>15</v>
      </c>
      <c r="D112" s="2" t="s">
        <v>28</v>
      </c>
      <c r="E112" s="2">
        <v>51056.15</v>
      </c>
      <c r="F112" s="2">
        <v>5686</v>
      </c>
      <c r="G112" s="2">
        <v>8.8999999999999996E-2</v>
      </c>
      <c r="H112" s="2">
        <v>13</v>
      </c>
      <c r="I112" s="2">
        <v>89.9</v>
      </c>
      <c r="J112" s="2">
        <v>4.01</v>
      </c>
      <c r="K112" s="2">
        <v>0</v>
      </c>
      <c r="L112" s="2">
        <v>3.9</v>
      </c>
      <c r="M112" s="2">
        <v>633494.21</v>
      </c>
      <c r="N112" s="2">
        <v>105739.47</v>
      </c>
    </row>
    <row r="113" spans="1:14">
      <c r="A113" s="2" t="s">
        <v>49</v>
      </c>
      <c r="B113" s="3">
        <v>45748</v>
      </c>
      <c r="C113" s="2" t="s">
        <v>15</v>
      </c>
      <c r="D113" s="2" t="s">
        <v>28</v>
      </c>
      <c r="E113" s="2">
        <v>52758.01</v>
      </c>
      <c r="F113" s="2">
        <v>4063</v>
      </c>
      <c r="G113" s="2">
        <v>5.7000000000000002E-2</v>
      </c>
      <c r="H113" s="2">
        <v>12</v>
      </c>
      <c r="I113" s="2">
        <v>91.7</v>
      </c>
      <c r="J113" s="2">
        <v>4.01</v>
      </c>
      <c r="K113" s="2">
        <v>0</v>
      </c>
      <c r="L113" s="2">
        <v>3.9</v>
      </c>
      <c r="M113" s="2">
        <v>713611.16</v>
      </c>
      <c r="N113" s="2">
        <v>129717.18</v>
      </c>
    </row>
    <row r="114" spans="1:14">
      <c r="A114" s="2" t="s">
        <v>50</v>
      </c>
      <c r="B114" s="3">
        <v>45658</v>
      </c>
      <c r="C114" s="2" t="s">
        <v>27</v>
      </c>
      <c r="D114" s="2" t="s">
        <v>28</v>
      </c>
      <c r="E114" s="2">
        <v>61426.04</v>
      </c>
      <c r="F114" s="2">
        <v>8966</v>
      </c>
      <c r="G114" s="2">
        <v>0.17299999999999999</v>
      </c>
      <c r="H114" s="2">
        <v>22</v>
      </c>
      <c r="I114" s="2">
        <v>76.400000000000006</v>
      </c>
      <c r="J114" s="2">
        <v>4.01</v>
      </c>
      <c r="K114" s="2">
        <v>0</v>
      </c>
      <c r="L114" s="2">
        <v>3.9</v>
      </c>
      <c r="M114" s="2">
        <v>778397.97</v>
      </c>
      <c r="N114" s="2">
        <v>120044.41</v>
      </c>
    </row>
    <row r="115" spans="1:14">
      <c r="A115" s="2" t="s">
        <v>50</v>
      </c>
      <c r="B115" s="3">
        <v>45689</v>
      </c>
      <c r="C115" s="2" t="s">
        <v>27</v>
      </c>
      <c r="D115" s="2" t="s">
        <v>28</v>
      </c>
      <c r="E115" s="2">
        <v>80176.34</v>
      </c>
      <c r="F115" s="2">
        <v>9489</v>
      </c>
      <c r="G115" s="2">
        <v>0.14199999999999999</v>
      </c>
      <c r="H115" s="2">
        <v>22</v>
      </c>
      <c r="I115" s="2">
        <v>94.3</v>
      </c>
      <c r="J115" s="2">
        <v>4.01</v>
      </c>
      <c r="K115" s="2">
        <v>0</v>
      </c>
      <c r="L115" s="2">
        <v>3.9</v>
      </c>
      <c r="M115" s="2">
        <v>873380.02</v>
      </c>
      <c r="N115" s="2">
        <v>149734.76</v>
      </c>
    </row>
    <row r="116" spans="1:14">
      <c r="A116" s="2" t="s">
        <v>50</v>
      </c>
      <c r="B116" s="3">
        <v>45717</v>
      </c>
      <c r="C116" s="2" t="s">
        <v>27</v>
      </c>
      <c r="D116" s="2" t="s">
        <v>28</v>
      </c>
      <c r="E116" s="2">
        <v>33605.18</v>
      </c>
      <c r="F116" s="2">
        <v>9225</v>
      </c>
      <c r="G116" s="2">
        <v>0.159</v>
      </c>
      <c r="H116" s="2">
        <v>23</v>
      </c>
      <c r="I116" s="2">
        <v>88.4</v>
      </c>
      <c r="J116" s="2">
        <v>4.01</v>
      </c>
      <c r="K116" s="2">
        <v>0</v>
      </c>
      <c r="L116" s="2">
        <v>3.9</v>
      </c>
      <c r="M116" s="2">
        <v>697287.9</v>
      </c>
      <c r="N116" s="2">
        <v>128208.33</v>
      </c>
    </row>
    <row r="117" spans="1:14">
      <c r="A117" s="2" t="s">
        <v>50</v>
      </c>
      <c r="B117" s="3">
        <v>45748</v>
      </c>
      <c r="C117" s="2" t="s">
        <v>27</v>
      </c>
      <c r="D117" s="2" t="s">
        <v>28</v>
      </c>
      <c r="E117" s="2">
        <v>25990.54</v>
      </c>
      <c r="F117" s="2">
        <v>9249</v>
      </c>
      <c r="G117" s="2">
        <v>0.13900000000000001</v>
      </c>
      <c r="H117" s="2">
        <v>23</v>
      </c>
      <c r="I117" s="2">
        <v>92.5</v>
      </c>
      <c r="J117" s="2">
        <v>4.01</v>
      </c>
      <c r="K117" s="2">
        <v>0</v>
      </c>
      <c r="L117" s="2">
        <v>3.9</v>
      </c>
      <c r="M117" s="2">
        <v>718074.79</v>
      </c>
      <c r="N117" s="2">
        <v>115819.87</v>
      </c>
    </row>
    <row r="118" spans="1:14">
      <c r="A118" s="2" t="s">
        <v>51</v>
      </c>
      <c r="B118" s="3">
        <v>45658</v>
      </c>
      <c r="C118" s="2" t="s">
        <v>27</v>
      </c>
      <c r="D118" s="2" t="s">
        <v>16</v>
      </c>
      <c r="E118" s="2">
        <v>43685.14</v>
      </c>
      <c r="F118" s="2">
        <v>7821</v>
      </c>
      <c r="G118" s="2">
        <v>0.19</v>
      </c>
      <c r="H118" s="2">
        <v>17</v>
      </c>
      <c r="I118" s="2">
        <v>91</v>
      </c>
      <c r="J118" s="2">
        <v>4.01</v>
      </c>
      <c r="K118" s="2">
        <v>1</v>
      </c>
      <c r="L118" s="2">
        <v>3.9</v>
      </c>
      <c r="M118" s="2">
        <v>714942.43</v>
      </c>
      <c r="N118" s="2">
        <v>94697.71</v>
      </c>
    </row>
    <row r="119" spans="1:14">
      <c r="A119" s="2" t="s">
        <v>51</v>
      </c>
      <c r="B119" s="3">
        <v>45689</v>
      </c>
      <c r="C119" s="2" t="s">
        <v>27</v>
      </c>
      <c r="D119" s="2" t="s">
        <v>16</v>
      </c>
      <c r="E119" s="2">
        <v>57360.01</v>
      </c>
      <c r="F119" s="2">
        <v>8434</v>
      </c>
      <c r="G119" s="2">
        <v>0.151</v>
      </c>
      <c r="H119" s="2">
        <v>19</v>
      </c>
      <c r="I119" s="2">
        <v>84.1</v>
      </c>
      <c r="J119" s="2">
        <v>4.01</v>
      </c>
      <c r="K119" s="2">
        <v>0</v>
      </c>
      <c r="L119" s="2">
        <v>3.9</v>
      </c>
      <c r="M119" s="2">
        <v>820519.04</v>
      </c>
      <c r="N119" s="2">
        <v>99035.88</v>
      </c>
    </row>
    <row r="120" spans="1:14">
      <c r="A120" s="2" t="s">
        <v>51</v>
      </c>
      <c r="B120" s="3">
        <v>45717</v>
      </c>
      <c r="C120" s="2" t="s">
        <v>27</v>
      </c>
      <c r="D120" s="2" t="s">
        <v>16</v>
      </c>
      <c r="E120" s="2">
        <v>42415.47</v>
      </c>
      <c r="F120" s="2">
        <v>8512</v>
      </c>
      <c r="G120" s="2">
        <v>0.13300000000000001</v>
      </c>
      <c r="H120" s="2">
        <v>18</v>
      </c>
      <c r="I120" s="2">
        <v>96.8</v>
      </c>
      <c r="J120" s="2">
        <v>4.01</v>
      </c>
      <c r="K120" s="2">
        <v>0</v>
      </c>
      <c r="L120" s="2">
        <v>3.9</v>
      </c>
      <c r="M120" s="2">
        <v>684217.32</v>
      </c>
      <c r="N120" s="2">
        <v>136217.19</v>
      </c>
    </row>
    <row r="121" spans="1:14">
      <c r="A121" s="2" t="s">
        <v>51</v>
      </c>
      <c r="B121" s="3">
        <v>45748</v>
      </c>
      <c r="C121" s="2" t="s">
        <v>27</v>
      </c>
      <c r="D121" s="2" t="s">
        <v>16</v>
      </c>
      <c r="E121" s="2">
        <v>54968.98</v>
      </c>
      <c r="F121" s="2">
        <v>7816</v>
      </c>
      <c r="G121" s="2">
        <v>0.23200000000000001</v>
      </c>
      <c r="H121" s="2">
        <v>19</v>
      </c>
      <c r="I121" s="2">
        <v>95.7</v>
      </c>
      <c r="J121" s="2">
        <v>4.01</v>
      </c>
      <c r="K121" s="2">
        <v>0</v>
      </c>
      <c r="L121" s="2">
        <v>3.9</v>
      </c>
      <c r="M121" s="2">
        <v>735480.19</v>
      </c>
      <c r="N121" s="2">
        <v>88342.11</v>
      </c>
    </row>
    <row r="122" spans="1:14">
      <c r="A122" s="2" t="s">
        <v>52</v>
      </c>
      <c r="B122" s="3">
        <v>45658</v>
      </c>
      <c r="C122" s="2" t="s">
        <v>20</v>
      </c>
      <c r="D122" s="2" t="s">
        <v>18</v>
      </c>
      <c r="E122" s="2">
        <v>43896.13</v>
      </c>
      <c r="F122" s="2">
        <v>3853</v>
      </c>
      <c r="G122" s="2">
        <v>8.7999999999999995E-2</v>
      </c>
      <c r="H122" s="2">
        <v>13</v>
      </c>
      <c r="I122" s="2">
        <v>83</v>
      </c>
      <c r="J122" s="2">
        <v>4.01</v>
      </c>
      <c r="K122" s="2">
        <v>0</v>
      </c>
      <c r="L122" s="2">
        <v>3.9</v>
      </c>
      <c r="M122" s="2">
        <v>509484.81</v>
      </c>
      <c r="N122" s="2">
        <v>85742.36</v>
      </c>
    </row>
    <row r="123" spans="1:14">
      <c r="A123" s="2" t="s">
        <v>52</v>
      </c>
      <c r="B123" s="3">
        <v>45689</v>
      </c>
      <c r="C123" s="2" t="s">
        <v>20</v>
      </c>
      <c r="D123" s="2" t="s">
        <v>18</v>
      </c>
      <c r="E123" s="2">
        <v>83044.17</v>
      </c>
      <c r="F123" s="2">
        <v>3694</v>
      </c>
      <c r="G123" s="2">
        <v>0</v>
      </c>
      <c r="H123" s="2">
        <v>14</v>
      </c>
      <c r="I123" s="2">
        <v>89.4</v>
      </c>
      <c r="J123" s="2">
        <v>4.01</v>
      </c>
      <c r="K123" s="2">
        <v>0</v>
      </c>
      <c r="L123" s="2">
        <v>3.9</v>
      </c>
      <c r="M123" s="2">
        <v>654317.09</v>
      </c>
      <c r="N123" s="2">
        <v>121446.89</v>
      </c>
    </row>
    <row r="124" spans="1:14">
      <c r="A124" s="2" t="s">
        <v>52</v>
      </c>
      <c r="B124" s="3">
        <v>45717</v>
      </c>
      <c r="C124" s="2" t="s">
        <v>20</v>
      </c>
      <c r="D124" s="2" t="s">
        <v>18</v>
      </c>
      <c r="E124" s="2">
        <v>48396.13</v>
      </c>
      <c r="F124" s="2">
        <v>4423</v>
      </c>
      <c r="G124" s="2">
        <v>6.9000000000000006E-2</v>
      </c>
      <c r="H124" s="2">
        <v>15</v>
      </c>
      <c r="I124" s="2">
        <v>85.7</v>
      </c>
      <c r="J124" s="2">
        <v>4.01</v>
      </c>
      <c r="K124" s="2">
        <v>0</v>
      </c>
      <c r="L124" s="2">
        <v>3.9</v>
      </c>
      <c r="M124" s="2">
        <v>557487.26</v>
      </c>
      <c r="N124" s="2">
        <v>76432.19</v>
      </c>
    </row>
    <row r="125" spans="1:14">
      <c r="A125" s="2" t="s">
        <v>52</v>
      </c>
      <c r="B125" s="3">
        <v>45748</v>
      </c>
      <c r="C125" s="2" t="s">
        <v>20</v>
      </c>
      <c r="D125" s="2" t="s">
        <v>18</v>
      </c>
      <c r="E125" s="2">
        <v>19063.48</v>
      </c>
      <c r="F125" s="2">
        <v>1906</v>
      </c>
      <c r="G125" s="2">
        <v>0.216</v>
      </c>
      <c r="H125" s="2">
        <v>10</v>
      </c>
      <c r="I125" s="2">
        <v>97.8</v>
      </c>
      <c r="J125" s="2">
        <v>4.01</v>
      </c>
      <c r="K125" s="2">
        <v>0</v>
      </c>
      <c r="L125" s="2">
        <v>3.9</v>
      </c>
      <c r="M125" s="2">
        <v>441275.42</v>
      </c>
      <c r="N125" s="2">
        <v>58234.87</v>
      </c>
    </row>
    <row r="126" spans="1:14">
      <c r="A126" s="2" t="s">
        <v>53</v>
      </c>
      <c r="B126" s="3">
        <v>45658</v>
      </c>
      <c r="C126" s="2" t="s">
        <v>24</v>
      </c>
      <c r="D126" s="2" t="s">
        <v>18</v>
      </c>
      <c r="E126" s="2">
        <v>61541.21</v>
      </c>
      <c r="F126" s="2">
        <v>10396</v>
      </c>
      <c r="G126" s="2">
        <v>0.123</v>
      </c>
      <c r="H126" s="2">
        <v>25</v>
      </c>
      <c r="I126" s="2">
        <v>88.1</v>
      </c>
      <c r="J126" s="2">
        <v>4.01</v>
      </c>
      <c r="K126" s="2">
        <v>1</v>
      </c>
      <c r="L126" s="2">
        <v>3.9</v>
      </c>
      <c r="M126" s="2">
        <v>914544.17</v>
      </c>
      <c r="N126" s="2">
        <v>79831.73</v>
      </c>
    </row>
    <row r="127" spans="1:14">
      <c r="A127" s="2" t="s">
        <v>53</v>
      </c>
      <c r="B127" s="3">
        <v>45689</v>
      </c>
      <c r="C127" s="2" t="s">
        <v>24</v>
      </c>
      <c r="D127" s="2" t="s">
        <v>18</v>
      </c>
      <c r="E127" s="2">
        <v>44747</v>
      </c>
      <c r="F127" s="2">
        <v>11076</v>
      </c>
      <c r="G127" s="2">
        <v>0.17599999999999999</v>
      </c>
      <c r="H127" s="2">
        <v>27</v>
      </c>
      <c r="I127" s="2">
        <v>98.3</v>
      </c>
      <c r="J127" s="2">
        <v>4.01</v>
      </c>
      <c r="K127" s="2">
        <v>0</v>
      </c>
      <c r="L127" s="2">
        <v>3.9</v>
      </c>
      <c r="M127" s="2">
        <v>842439.67</v>
      </c>
      <c r="N127" s="2">
        <v>169983.63</v>
      </c>
    </row>
    <row r="128" spans="1:14">
      <c r="A128" s="2" t="s">
        <v>53</v>
      </c>
      <c r="B128" s="3">
        <v>45717</v>
      </c>
      <c r="C128" s="2" t="s">
        <v>24</v>
      </c>
      <c r="D128" s="2" t="s">
        <v>18</v>
      </c>
      <c r="E128" s="2">
        <v>56517.9</v>
      </c>
      <c r="F128" s="2">
        <v>9574</v>
      </c>
      <c r="G128" s="2">
        <v>0.20399999999999999</v>
      </c>
      <c r="H128" s="2">
        <v>20</v>
      </c>
      <c r="I128" s="2">
        <v>88.2</v>
      </c>
      <c r="J128" s="2">
        <v>4.01</v>
      </c>
      <c r="K128" s="2">
        <v>1</v>
      </c>
      <c r="L128" s="2">
        <v>3.9</v>
      </c>
      <c r="M128" s="2">
        <v>842157.92</v>
      </c>
      <c r="N128" s="2">
        <v>107348.22</v>
      </c>
    </row>
    <row r="129" spans="1:14">
      <c r="A129" s="2" t="s">
        <v>53</v>
      </c>
      <c r="B129" s="3">
        <v>45748</v>
      </c>
      <c r="C129" s="2" t="s">
        <v>24</v>
      </c>
      <c r="D129" s="2" t="s">
        <v>18</v>
      </c>
      <c r="E129" s="2">
        <v>37828.5</v>
      </c>
      <c r="F129" s="2">
        <v>8221</v>
      </c>
      <c r="G129" s="2">
        <v>9.6000000000000002E-2</v>
      </c>
      <c r="H129" s="2">
        <v>19</v>
      </c>
      <c r="I129" s="2">
        <v>81.5</v>
      </c>
      <c r="J129" s="2">
        <v>4.01</v>
      </c>
      <c r="K129" s="2">
        <v>0</v>
      </c>
      <c r="L129" s="2">
        <v>3.9</v>
      </c>
      <c r="M129" s="2">
        <v>697155.3</v>
      </c>
      <c r="N129" s="2">
        <v>136408.54</v>
      </c>
    </row>
    <row r="130" spans="1:14">
      <c r="A130" s="2" t="s">
        <v>54</v>
      </c>
      <c r="B130" s="3">
        <v>45658</v>
      </c>
      <c r="C130" s="2" t="s">
        <v>15</v>
      </c>
      <c r="D130" s="2" t="s">
        <v>18</v>
      </c>
      <c r="E130" s="2">
        <v>66250.53</v>
      </c>
      <c r="F130" s="2">
        <v>10618</v>
      </c>
      <c r="G130" s="2">
        <v>0.14199999999999999</v>
      </c>
      <c r="H130" s="2">
        <v>27</v>
      </c>
      <c r="I130" s="2">
        <v>88.3</v>
      </c>
      <c r="J130" s="2">
        <v>4.01</v>
      </c>
      <c r="K130" s="2">
        <v>1</v>
      </c>
      <c r="L130" s="2">
        <v>3.9</v>
      </c>
      <c r="M130" s="2">
        <v>849018.3</v>
      </c>
      <c r="N130" s="2">
        <v>149035.13</v>
      </c>
    </row>
    <row r="131" spans="1:14">
      <c r="A131" s="2" t="s">
        <v>54</v>
      </c>
      <c r="B131" s="3">
        <v>45689</v>
      </c>
      <c r="C131" s="2" t="s">
        <v>15</v>
      </c>
      <c r="D131" s="2" t="s">
        <v>18</v>
      </c>
      <c r="E131" s="2">
        <v>68410.929999999993</v>
      </c>
      <c r="F131" s="2">
        <v>10596</v>
      </c>
      <c r="G131" s="2">
        <v>0.20699999999999999</v>
      </c>
      <c r="H131" s="2">
        <v>25</v>
      </c>
      <c r="I131" s="2">
        <v>81.2</v>
      </c>
      <c r="J131" s="2">
        <v>4.01</v>
      </c>
      <c r="K131" s="2">
        <v>0</v>
      </c>
      <c r="L131" s="2">
        <v>3.9</v>
      </c>
      <c r="M131" s="2">
        <v>801830.35</v>
      </c>
      <c r="N131" s="2">
        <v>114875.32</v>
      </c>
    </row>
    <row r="132" spans="1:14">
      <c r="A132" s="2" t="s">
        <v>54</v>
      </c>
      <c r="B132" s="3">
        <v>45717</v>
      </c>
      <c r="C132" s="2" t="s">
        <v>15</v>
      </c>
      <c r="D132" s="2" t="s">
        <v>18</v>
      </c>
      <c r="E132" s="2">
        <v>50735.63</v>
      </c>
      <c r="F132" s="2">
        <v>9619</v>
      </c>
      <c r="G132" s="2">
        <v>0.14399999999999999</v>
      </c>
      <c r="H132" s="2">
        <v>19</v>
      </c>
      <c r="I132" s="2">
        <v>93.8</v>
      </c>
      <c r="J132" s="2">
        <v>4.01</v>
      </c>
      <c r="K132" s="2">
        <v>1</v>
      </c>
      <c r="L132" s="2">
        <v>3.9</v>
      </c>
      <c r="M132" s="2">
        <v>725235.28</v>
      </c>
      <c r="N132" s="2">
        <v>121632.24</v>
      </c>
    </row>
    <row r="133" spans="1:14">
      <c r="A133" s="2" t="s">
        <v>54</v>
      </c>
      <c r="B133" s="3">
        <v>45748</v>
      </c>
      <c r="C133" s="2" t="s">
        <v>15</v>
      </c>
      <c r="D133" s="2" t="s">
        <v>18</v>
      </c>
      <c r="E133" s="2">
        <v>66455.8</v>
      </c>
      <c r="F133" s="2">
        <v>10836</v>
      </c>
      <c r="G133" s="2">
        <v>8.8999999999999996E-2</v>
      </c>
      <c r="H133" s="2">
        <v>25</v>
      </c>
      <c r="I133" s="2">
        <v>85</v>
      </c>
      <c r="J133" s="2">
        <v>4.01</v>
      </c>
      <c r="K133" s="2">
        <v>0</v>
      </c>
      <c r="L133" s="2">
        <v>3.9</v>
      </c>
      <c r="M133" s="2">
        <v>811452.72</v>
      </c>
      <c r="N133" s="2">
        <v>131325.67000000001</v>
      </c>
    </row>
    <row r="134" spans="1:14">
      <c r="A134" s="2" t="s">
        <v>55</v>
      </c>
      <c r="B134" s="3">
        <v>45658</v>
      </c>
      <c r="C134" s="2" t="s">
        <v>20</v>
      </c>
      <c r="D134" s="2" t="s">
        <v>18</v>
      </c>
      <c r="E134" s="2">
        <v>70276.28</v>
      </c>
      <c r="F134" s="2">
        <v>3043</v>
      </c>
      <c r="G134" s="2">
        <v>7.9000000000000001E-2</v>
      </c>
      <c r="H134" s="2">
        <v>9</v>
      </c>
      <c r="I134" s="2">
        <v>87.9</v>
      </c>
      <c r="J134" s="2">
        <v>4.01</v>
      </c>
      <c r="K134" s="2">
        <v>0</v>
      </c>
      <c r="L134" s="2">
        <v>3.9</v>
      </c>
      <c r="M134" s="2">
        <v>527300.13</v>
      </c>
      <c r="N134" s="2">
        <v>84197.87</v>
      </c>
    </row>
    <row r="135" spans="1:14">
      <c r="A135" s="2" t="s">
        <v>55</v>
      </c>
      <c r="B135" s="3">
        <v>45689</v>
      </c>
      <c r="C135" s="2" t="s">
        <v>20</v>
      </c>
      <c r="D135" s="2" t="s">
        <v>18</v>
      </c>
      <c r="E135" s="2">
        <v>22071.64</v>
      </c>
      <c r="F135" s="2">
        <v>1814</v>
      </c>
      <c r="G135" s="2">
        <v>0.19600000000000001</v>
      </c>
      <c r="H135" s="2">
        <v>8</v>
      </c>
      <c r="I135" s="2">
        <v>81.099999999999994</v>
      </c>
      <c r="J135" s="2">
        <v>4.01</v>
      </c>
      <c r="K135" s="2">
        <v>0</v>
      </c>
      <c r="L135" s="2">
        <v>3.9</v>
      </c>
      <c r="M135" s="2">
        <v>400831.65</v>
      </c>
      <c r="N135" s="2">
        <v>70979.31</v>
      </c>
    </row>
    <row r="136" spans="1:14">
      <c r="A136" s="2" t="s">
        <v>55</v>
      </c>
      <c r="B136" s="3">
        <v>45717</v>
      </c>
      <c r="C136" s="2" t="s">
        <v>20</v>
      </c>
      <c r="D136" s="2" t="s">
        <v>18</v>
      </c>
      <c r="E136" s="2">
        <v>52285.45</v>
      </c>
      <c r="F136" s="2">
        <v>3618</v>
      </c>
      <c r="G136" s="2">
        <v>8.5999999999999993E-2</v>
      </c>
      <c r="H136" s="2">
        <v>11</v>
      </c>
      <c r="I136" s="2">
        <v>95.6</v>
      </c>
      <c r="J136" s="2">
        <v>4.01</v>
      </c>
      <c r="K136" s="2">
        <v>1</v>
      </c>
      <c r="L136" s="2">
        <v>3.9</v>
      </c>
      <c r="M136" s="2">
        <v>593247.25</v>
      </c>
      <c r="N136" s="2">
        <v>81240.289999999994</v>
      </c>
    </row>
    <row r="137" spans="1:14">
      <c r="A137" s="2" t="s">
        <v>55</v>
      </c>
      <c r="B137" s="3">
        <v>45748</v>
      </c>
      <c r="C137" s="2" t="s">
        <v>20</v>
      </c>
      <c r="D137" s="2" t="s">
        <v>18</v>
      </c>
      <c r="E137" s="2">
        <v>70366.759999999995</v>
      </c>
      <c r="F137" s="2">
        <v>1963</v>
      </c>
      <c r="G137" s="2">
        <v>0.182</v>
      </c>
      <c r="H137" s="2">
        <v>8</v>
      </c>
      <c r="I137" s="2">
        <v>89.8</v>
      </c>
      <c r="J137" s="2">
        <v>4.01</v>
      </c>
      <c r="K137" s="2">
        <v>0</v>
      </c>
      <c r="L137" s="2">
        <v>3.9</v>
      </c>
      <c r="M137" s="2">
        <v>529075.94999999995</v>
      </c>
      <c r="N137" s="2">
        <v>95978.83</v>
      </c>
    </row>
    <row r="138" spans="1:14">
      <c r="A138" s="2" t="s">
        <v>56</v>
      </c>
      <c r="B138" s="3">
        <v>45658</v>
      </c>
      <c r="C138" s="2" t="s">
        <v>24</v>
      </c>
      <c r="D138" s="2" t="s">
        <v>16</v>
      </c>
      <c r="E138" s="2">
        <v>71320.66</v>
      </c>
      <c r="F138" s="2">
        <v>7888</v>
      </c>
      <c r="G138" s="2">
        <v>4.8000000000000001E-2</v>
      </c>
      <c r="H138" s="2">
        <v>20</v>
      </c>
      <c r="I138" s="2">
        <v>78.099999999999994</v>
      </c>
      <c r="J138" s="2">
        <v>4.01</v>
      </c>
      <c r="K138" s="2">
        <v>0</v>
      </c>
      <c r="L138" s="2">
        <v>3.9</v>
      </c>
      <c r="M138" s="2">
        <v>633638.03</v>
      </c>
      <c r="N138" s="2">
        <v>99402.01</v>
      </c>
    </row>
    <row r="139" spans="1:14">
      <c r="A139" s="2" t="s">
        <v>56</v>
      </c>
      <c r="B139" s="3">
        <v>45689</v>
      </c>
      <c r="C139" s="2" t="s">
        <v>24</v>
      </c>
      <c r="D139" s="2" t="s">
        <v>16</v>
      </c>
      <c r="E139" s="2">
        <v>75109.67</v>
      </c>
      <c r="F139" s="2">
        <v>6244</v>
      </c>
      <c r="G139" s="2">
        <v>7.9000000000000001E-2</v>
      </c>
      <c r="H139" s="2">
        <v>15</v>
      </c>
      <c r="I139" s="2">
        <v>96.3</v>
      </c>
      <c r="J139" s="2">
        <v>4.01</v>
      </c>
      <c r="K139" s="2">
        <v>0</v>
      </c>
      <c r="L139" s="2">
        <v>3.9</v>
      </c>
      <c r="M139" s="2">
        <v>743348.84</v>
      </c>
      <c r="N139" s="2">
        <v>104186.09</v>
      </c>
    </row>
    <row r="140" spans="1:14">
      <c r="A140" s="2" t="s">
        <v>56</v>
      </c>
      <c r="B140" s="3">
        <v>45717</v>
      </c>
      <c r="C140" s="2" t="s">
        <v>24</v>
      </c>
      <c r="D140" s="2" t="s">
        <v>16</v>
      </c>
      <c r="E140" s="2">
        <v>69779</v>
      </c>
      <c r="F140" s="2">
        <v>6544</v>
      </c>
      <c r="G140" s="2">
        <v>0.152</v>
      </c>
      <c r="H140" s="2">
        <v>18</v>
      </c>
      <c r="I140" s="2">
        <v>90.2</v>
      </c>
      <c r="J140" s="2">
        <v>4.01</v>
      </c>
      <c r="K140" s="2">
        <v>1</v>
      </c>
      <c r="L140" s="2">
        <v>3.9</v>
      </c>
      <c r="M140" s="2">
        <v>758827.64</v>
      </c>
      <c r="N140" s="2">
        <v>161439.48000000001</v>
      </c>
    </row>
    <row r="141" spans="1:14">
      <c r="A141" s="2" t="s">
        <v>56</v>
      </c>
      <c r="B141" s="3">
        <v>45748</v>
      </c>
      <c r="C141" s="2" t="s">
        <v>24</v>
      </c>
      <c r="D141" s="2" t="s">
        <v>16</v>
      </c>
      <c r="E141" s="2">
        <v>44211.95</v>
      </c>
      <c r="F141" s="2">
        <v>5465</v>
      </c>
      <c r="G141" s="2">
        <v>0.187</v>
      </c>
      <c r="H141" s="2">
        <v>12</v>
      </c>
      <c r="I141" s="2">
        <v>90</v>
      </c>
      <c r="J141" s="2">
        <v>4.01</v>
      </c>
      <c r="K141" s="2">
        <v>0</v>
      </c>
      <c r="L141" s="2">
        <v>3.9</v>
      </c>
      <c r="M141" s="2">
        <v>646559.71</v>
      </c>
      <c r="N141" s="2">
        <v>97981.75</v>
      </c>
    </row>
    <row r="142" spans="1:14">
      <c r="A142" s="2" t="s">
        <v>57</v>
      </c>
      <c r="B142" s="3">
        <v>45658</v>
      </c>
      <c r="C142" s="2" t="s">
        <v>27</v>
      </c>
      <c r="D142" s="2" t="s">
        <v>18</v>
      </c>
      <c r="E142" s="2">
        <v>51430.31</v>
      </c>
      <c r="F142" s="2">
        <v>6427</v>
      </c>
      <c r="G142" s="2">
        <v>0.23400000000000001</v>
      </c>
      <c r="H142" s="2">
        <v>14</v>
      </c>
      <c r="I142" s="2">
        <v>88.8</v>
      </c>
      <c r="J142" s="2">
        <v>4.01</v>
      </c>
      <c r="K142" s="2">
        <v>0</v>
      </c>
      <c r="L142" s="2">
        <v>3.9</v>
      </c>
      <c r="M142" s="2">
        <v>715890.53</v>
      </c>
      <c r="N142" s="2">
        <v>109032.15</v>
      </c>
    </row>
    <row r="143" spans="1:14">
      <c r="A143" s="2" t="s">
        <v>57</v>
      </c>
      <c r="B143" s="3">
        <v>45689</v>
      </c>
      <c r="C143" s="2" t="s">
        <v>27</v>
      </c>
      <c r="D143" s="2" t="s">
        <v>18</v>
      </c>
      <c r="E143" s="2">
        <v>45706.49</v>
      </c>
      <c r="F143" s="2">
        <v>6704</v>
      </c>
      <c r="G143" s="2">
        <v>3.7999999999999999E-2</v>
      </c>
      <c r="H143" s="2">
        <v>15</v>
      </c>
      <c r="I143" s="2">
        <v>94.2</v>
      </c>
      <c r="J143" s="2">
        <v>4.01</v>
      </c>
      <c r="K143" s="2">
        <v>0</v>
      </c>
      <c r="L143" s="2">
        <v>3.9</v>
      </c>
      <c r="M143" s="2">
        <v>715097.57</v>
      </c>
      <c r="N143" s="2">
        <v>151875.85999999999</v>
      </c>
    </row>
    <row r="144" spans="1:14">
      <c r="A144" s="2" t="s">
        <v>57</v>
      </c>
      <c r="B144" s="3">
        <v>45717</v>
      </c>
      <c r="C144" s="2" t="s">
        <v>27</v>
      </c>
      <c r="D144" s="2" t="s">
        <v>18</v>
      </c>
      <c r="E144" s="2">
        <v>44034.6</v>
      </c>
      <c r="F144" s="2">
        <v>5645</v>
      </c>
      <c r="G144" s="2">
        <v>6.9000000000000006E-2</v>
      </c>
      <c r="H144" s="2">
        <v>18</v>
      </c>
      <c r="I144" s="2">
        <v>88.5</v>
      </c>
      <c r="J144" s="2">
        <v>4.01</v>
      </c>
      <c r="K144" s="2">
        <v>0</v>
      </c>
      <c r="L144" s="2">
        <v>3.9</v>
      </c>
      <c r="M144" s="2">
        <v>682639.28</v>
      </c>
      <c r="N144" s="2">
        <v>77557.53</v>
      </c>
    </row>
    <row r="145" spans="1:14">
      <c r="A145" s="2" t="s">
        <v>57</v>
      </c>
      <c r="B145" s="3">
        <v>45748</v>
      </c>
      <c r="C145" s="2" t="s">
        <v>27</v>
      </c>
      <c r="D145" s="2" t="s">
        <v>18</v>
      </c>
      <c r="E145" s="2">
        <v>50198.12</v>
      </c>
      <c r="F145" s="2">
        <v>6089</v>
      </c>
      <c r="G145" s="2">
        <v>0.182</v>
      </c>
      <c r="H145" s="2">
        <v>19</v>
      </c>
      <c r="I145" s="2">
        <v>94</v>
      </c>
      <c r="J145" s="2">
        <v>4.01</v>
      </c>
      <c r="K145" s="2">
        <v>0</v>
      </c>
      <c r="L145" s="2">
        <v>3.9</v>
      </c>
      <c r="M145" s="2">
        <v>695098.51</v>
      </c>
      <c r="N145" s="2">
        <v>108192.75</v>
      </c>
    </row>
    <row r="146" spans="1:14">
      <c r="A146" s="2" t="s">
        <v>58</v>
      </c>
      <c r="B146" s="3">
        <v>45658</v>
      </c>
      <c r="C146" s="2" t="s">
        <v>20</v>
      </c>
      <c r="D146" s="2" t="s">
        <v>16</v>
      </c>
      <c r="E146" s="2">
        <v>70488.2</v>
      </c>
      <c r="F146" s="2">
        <v>4312</v>
      </c>
      <c r="G146" s="2">
        <v>0.16900000000000001</v>
      </c>
      <c r="H146" s="2">
        <v>12</v>
      </c>
      <c r="I146" s="2">
        <v>90.2</v>
      </c>
      <c r="J146" s="2">
        <v>4.01</v>
      </c>
      <c r="K146" s="2">
        <v>0</v>
      </c>
      <c r="L146" s="2">
        <v>3.9</v>
      </c>
      <c r="M146" s="2">
        <v>577732.56999999995</v>
      </c>
      <c r="N146" s="2">
        <v>93804.27</v>
      </c>
    </row>
    <row r="147" spans="1:14">
      <c r="A147" s="2" t="s">
        <v>58</v>
      </c>
      <c r="B147" s="3">
        <v>45689</v>
      </c>
      <c r="C147" s="2" t="s">
        <v>20</v>
      </c>
      <c r="D147" s="2" t="s">
        <v>16</v>
      </c>
      <c r="E147" s="2">
        <v>50909.27</v>
      </c>
      <c r="F147" s="2">
        <v>3152</v>
      </c>
      <c r="G147" s="2">
        <v>0.06</v>
      </c>
      <c r="H147" s="2">
        <v>13</v>
      </c>
      <c r="I147" s="2">
        <v>93.7</v>
      </c>
      <c r="J147" s="2">
        <v>4.01</v>
      </c>
      <c r="K147" s="2">
        <v>0</v>
      </c>
      <c r="L147" s="2">
        <v>3.9</v>
      </c>
      <c r="M147" s="2">
        <v>537058.32999999996</v>
      </c>
      <c r="N147" s="2">
        <v>93555.71</v>
      </c>
    </row>
    <row r="148" spans="1:14">
      <c r="A148" s="2" t="s">
        <v>58</v>
      </c>
      <c r="B148" s="3">
        <v>45717</v>
      </c>
      <c r="C148" s="2" t="s">
        <v>20</v>
      </c>
      <c r="D148" s="2" t="s">
        <v>16</v>
      </c>
      <c r="E148" s="2">
        <v>53351.7</v>
      </c>
      <c r="F148" s="2">
        <v>4259</v>
      </c>
      <c r="G148" s="2">
        <v>0.156</v>
      </c>
      <c r="H148" s="2">
        <v>15</v>
      </c>
      <c r="I148" s="2">
        <v>93.7</v>
      </c>
      <c r="J148" s="2">
        <v>4.01</v>
      </c>
      <c r="K148" s="2">
        <v>0</v>
      </c>
      <c r="L148" s="2">
        <v>3.9</v>
      </c>
      <c r="M148" s="2">
        <v>601568.87</v>
      </c>
      <c r="N148" s="2">
        <v>91634.82</v>
      </c>
    </row>
    <row r="149" spans="1:14">
      <c r="A149" s="2" t="s">
        <v>58</v>
      </c>
      <c r="B149" s="3">
        <v>45748</v>
      </c>
      <c r="C149" s="2" t="s">
        <v>20</v>
      </c>
      <c r="D149" s="2" t="s">
        <v>16</v>
      </c>
      <c r="E149" s="2">
        <v>60322.400000000001</v>
      </c>
      <c r="F149" s="2">
        <v>3350</v>
      </c>
      <c r="G149" s="2">
        <v>0.108</v>
      </c>
      <c r="H149" s="2">
        <v>12</v>
      </c>
      <c r="I149" s="2">
        <v>89.4</v>
      </c>
      <c r="J149" s="2">
        <v>4.01</v>
      </c>
      <c r="K149" s="2">
        <v>0</v>
      </c>
      <c r="L149" s="2">
        <v>3.9</v>
      </c>
      <c r="M149" s="2">
        <v>570964.84</v>
      </c>
      <c r="N149" s="2">
        <v>81331.070000000007</v>
      </c>
    </row>
    <row r="150" spans="1:14">
      <c r="A150" s="2" t="s">
        <v>59</v>
      </c>
      <c r="B150" s="3">
        <v>45658</v>
      </c>
      <c r="C150" s="2" t="s">
        <v>24</v>
      </c>
      <c r="D150" s="2" t="s">
        <v>28</v>
      </c>
      <c r="E150" s="2">
        <v>51575.68</v>
      </c>
      <c r="F150" s="2">
        <v>5329</v>
      </c>
      <c r="G150" s="2">
        <v>4.7E-2</v>
      </c>
      <c r="H150" s="2">
        <v>17</v>
      </c>
      <c r="I150" s="2">
        <v>88.1</v>
      </c>
      <c r="J150" s="2">
        <v>4.01</v>
      </c>
      <c r="K150" s="2">
        <v>0</v>
      </c>
      <c r="L150" s="2">
        <v>3.9</v>
      </c>
      <c r="M150" s="2">
        <v>614024.91</v>
      </c>
      <c r="N150" s="2">
        <v>84828.93</v>
      </c>
    </row>
    <row r="151" spans="1:14">
      <c r="A151" s="2" t="s">
        <v>59</v>
      </c>
      <c r="B151" s="3">
        <v>45689</v>
      </c>
      <c r="C151" s="2" t="s">
        <v>24</v>
      </c>
      <c r="D151" s="2" t="s">
        <v>28</v>
      </c>
      <c r="E151" s="2">
        <v>43319.94</v>
      </c>
      <c r="F151" s="2">
        <v>6551</v>
      </c>
      <c r="G151" s="2">
        <v>4.3999999999999997E-2</v>
      </c>
      <c r="H151" s="2">
        <v>13</v>
      </c>
      <c r="I151" s="2">
        <v>99</v>
      </c>
      <c r="J151" s="2">
        <v>4.01</v>
      </c>
      <c r="K151" s="2">
        <v>0</v>
      </c>
      <c r="L151" s="2">
        <v>3.9</v>
      </c>
      <c r="M151" s="2">
        <v>712868.35</v>
      </c>
      <c r="N151" s="2">
        <v>133650.51</v>
      </c>
    </row>
    <row r="152" spans="1:14">
      <c r="A152" s="2" t="s">
        <v>59</v>
      </c>
      <c r="B152" s="3">
        <v>45717</v>
      </c>
      <c r="C152" s="2" t="s">
        <v>24</v>
      </c>
      <c r="D152" s="2" t="s">
        <v>28</v>
      </c>
      <c r="E152" s="2">
        <v>47093.55</v>
      </c>
      <c r="F152" s="2">
        <v>5550</v>
      </c>
      <c r="G152" s="2">
        <v>0.1</v>
      </c>
      <c r="H152" s="2">
        <v>12</v>
      </c>
      <c r="I152" s="2">
        <v>95</v>
      </c>
      <c r="J152" s="2">
        <v>4.01</v>
      </c>
      <c r="K152" s="2">
        <v>1</v>
      </c>
      <c r="L152" s="2">
        <v>3.9</v>
      </c>
      <c r="M152" s="2">
        <v>696744.15</v>
      </c>
      <c r="N152" s="2">
        <v>152230.09</v>
      </c>
    </row>
    <row r="153" spans="1:14">
      <c r="A153" s="2" t="s">
        <v>59</v>
      </c>
      <c r="B153" s="3">
        <v>45748</v>
      </c>
      <c r="C153" s="2" t="s">
        <v>24</v>
      </c>
      <c r="D153" s="2" t="s">
        <v>28</v>
      </c>
      <c r="E153" s="2">
        <v>71855.09</v>
      </c>
      <c r="F153" s="2">
        <v>5911</v>
      </c>
      <c r="G153" s="2">
        <v>0.19700000000000001</v>
      </c>
      <c r="H153" s="2">
        <v>15</v>
      </c>
      <c r="I153" s="2">
        <v>94.3</v>
      </c>
      <c r="J153" s="2">
        <v>4.01</v>
      </c>
      <c r="K153" s="2">
        <v>0</v>
      </c>
      <c r="L153" s="2">
        <v>3.9</v>
      </c>
      <c r="M153" s="2">
        <v>725847.99</v>
      </c>
      <c r="N153" s="2">
        <v>122698.73</v>
      </c>
    </row>
    <row r="154" spans="1:14">
      <c r="A154" s="2" t="s">
        <v>60</v>
      </c>
      <c r="B154" s="3">
        <v>45658</v>
      </c>
      <c r="C154" s="2" t="s">
        <v>15</v>
      </c>
      <c r="D154" s="2" t="s">
        <v>18</v>
      </c>
      <c r="E154" s="2">
        <v>75645.23</v>
      </c>
      <c r="F154" s="2">
        <v>9674</v>
      </c>
      <c r="G154" s="2">
        <v>0.23400000000000001</v>
      </c>
      <c r="H154" s="2">
        <v>21</v>
      </c>
      <c r="I154" s="2">
        <v>87.4</v>
      </c>
      <c r="J154" s="2">
        <v>4.01</v>
      </c>
      <c r="K154" s="2">
        <v>0</v>
      </c>
      <c r="L154" s="2">
        <v>3.9</v>
      </c>
      <c r="M154" s="2">
        <v>785028.25</v>
      </c>
      <c r="N154" s="2">
        <v>110726.44</v>
      </c>
    </row>
    <row r="155" spans="1:14">
      <c r="A155" s="2" t="s">
        <v>60</v>
      </c>
      <c r="B155" s="3">
        <v>45689</v>
      </c>
      <c r="C155" s="2" t="s">
        <v>15</v>
      </c>
      <c r="D155" s="2" t="s">
        <v>18</v>
      </c>
      <c r="E155" s="2">
        <v>64374.75</v>
      </c>
      <c r="F155" s="2">
        <v>6740</v>
      </c>
      <c r="G155" s="2">
        <v>0.16900000000000001</v>
      </c>
      <c r="H155" s="2">
        <v>18</v>
      </c>
      <c r="I155" s="2">
        <v>87</v>
      </c>
      <c r="J155" s="2">
        <v>4.01</v>
      </c>
      <c r="K155" s="2">
        <v>0</v>
      </c>
      <c r="L155" s="2">
        <v>3.9</v>
      </c>
      <c r="M155" s="2">
        <v>698492.67</v>
      </c>
      <c r="N155" s="2">
        <v>117319.32</v>
      </c>
    </row>
    <row r="156" spans="1:14">
      <c r="A156" s="2" t="s">
        <v>60</v>
      </c>
      <c r="B156" s="3">
        <v>45717</v>
      </c>
      <c r="C156" s="2" t="s">
        <v>15</v>
      </c>
      <c r="D156" s="2" t="s">
        <v>18</v>
      </c>
      <c r="E156" s="2">
        <v>61433.84</v>
      </c>
      <c r="F156" s="2">
        <v>7745</v>
      </c>
      <c r="G156" s="2">
        <v>0.18</v>
      </c>
      <c r="H156" s="2">
        <v>16</v>
      </c>
      <c r="I156" s="2">
        <v>90.5</v>
      </c>
      <c r="J156" s="2">
        <v>4.01</v>
      </c>
      <c r="K156" s="2">
        <v>0</v>
      </c>
      <c r="L156" s="2">
        <v>3.9</v>
      </c>
      <c r="M156" s="2">
        <v>685830.24</v>
      </c>
      <c r="N156" s="2">
        <v>128736.18</v>
      </c>
    </row>
    <row r="157" spans="1:14">
      <c r="A157" s="2" t="s">
        <v>60</v>
      </c>
      <c r="B157" s="3">
        <v>45748</v>
      </c>
      <c r="C157" s="2" t="s">
        <v>15</v>
      </c>
      <c r="D157" s="2" t="s">
        <v>18</v>
      </c>
      <c r="E157" s="2">
        <v>42698.14</v>
      </c>
      <c r="F157" s="2">
        <v>7693</v>
      </c>
      <c r="G157" s="2">
        <v>0.187</v>
      </c>
      <c r="H157" s="2">
        <v>19</v>
      </c>
      <c r="I157" s="2">
        <v>90.1</v>
      </c>
      <c r="J157" s="2">
        <v>4.01</v>
      </c>
      <c r="K157" s="2">
        <v>0</v>
      </c>
      <c r="L157" s="2">
        <v>3.9</v>
      </c>
      <c r="M157" s="2">
        <v>702318.94</v>
      </c>
      <c r="N157" s="2">
        <v>112829.29</v>
      </c>
    </row>
    <row r="158" spans="1:14">
      <c r="A158" s="2" t="s">
        <v>61</v>
      </c>
      <c r="B158" s="3">
        <v>45658</v>
      </c>
      <c r="C158" s="2" t="s">
        <v>20</v>
      </c>
      <c r="D158" s="2" t="s">
        <v>28</v>
      </c>
      <c r="E158" s="2">
        <v>86883.31</v>
      </c>
      <c r="F158" s="2">
        <v>6424</v>
      </c>
      <c r="G158" s="2">
        <v>5.7000000000000002E-2</v>
      </c>
      <c r="H158" s="2">
        <v>19</v>
      </c>
      <c r="I158" s="2">
        <v>85.2</v>
      </c>
      <c r="J158" s="2">
        <v>4.01</v>
      </c>
      <c r="K158" s="2">
        <v>0</v>
      </c>
      <c r="L158" s="2">
        <v>3.9</v>
      </c>
      <c r="M158" s="2">
        <v>700078.32</v>
      </c>
      <c r="N158" s="2">
        <v>123707.58</v>
      </c>
    </row>
    <row r="159" spans="1:14">
      <c r="A159" s="2" t="s">
        <v>61</v>
      </c>
      <c r="B159" s="3">
        <v>45689</v>
      </c>
      <c r="C159" s="2" t="s">
        <v>20</v>
      </c>
      <c r="D159" s="2" t="s">
        <v>28</v>
      </c>
      <c r="E159" s="2">
        <v>41863.08</v>
      </c>
      <c r="F159" s="2">
        <v>5400</v>
      </c>
      <c r="G159" s="2">
        <v>0.114</v>
      </c>
      <c r="H159" s="2">
        <v>11</v>
      </c>
      <c r="I159" s="2">
        <v>91.6</v>
      </c>
      <c r="J159" s="2">
        <v>4.01</v>
      </c>
      <c r="K159" s="2">
        <v>0</v>
      </c>
      <c r="L159" s="2">
        <v>3.9</v>
      </c>
      <c r="M159" s="2">
        <v>602002.31999999995</v>
      </c>
      <c r="N159" s="2">
        <v>110453.28</v>
      </c>
    </row>
    <row r="160" spans="1:14">
      <c r="A160" s="2" t="s">
        <v>61</v>
      </c>
      <c r="B160" s="3">
        <v>45717</v>
      </c>
      <c r="C160" s="2" t="s">
        <v>20</v>
      </c>
      <c r="D160" s="2" t="s">
        <v>28</v>
      </c>
      <c r="E160" s="2">
        <v>56918.16</v>
      </c>
      <c r="F160" s="2">
        <v>7015</v>
      </c>
      <c r="G160" s="2">
        <v>0.158</v>
      </c>
      <c r="H160" s="2">
        <v>18</v>
      </c>
      <c r="I160" s="2">
        <v>74.2</v>
      </c>
      <c r="J160" s="2">
        <v>4.01</v>
      </c>
      <c r="K160" s="2">
        <v>0</v>
      </c>
      <c r="L160" s="2">
        <v>3.9</v>
      </c>
      <c r="M160" s="2">
        <v>724216.07</v>
      </c>
      <c r="N160" s="2">
        <v>100627.56</v>
      </c>
    </row>
    <row r="161" spans="1:14">
      <c r="A161" s="2" t="s">
        <v>61</v>
      </c>
      <c r="B161" s="3">
        <v>45748</v>
      </c>
      <c r="C161" s="2" t="s">
        <v>20</v>
      </c>
      <c r="D161" s="2" t="s">
        <v>28</v>
      </c>
      <c r="E161" s="2">
        <v>23254.57</v>
      </c>
      <c r="F161" s="2">
        <v>3847</v>
      </c>
      <c r="G161" s="2">
        <v>0.159</v>
      </c>
      <c r="H161" s="2">
        <v>12</v>
      </c>
      <c r="I161" s="2">
        <v>93</v>
      </c>
      <c r="J161" s="2">
        <v>4.01</v>
      </c>
      <c r="K161" s="2">
        <v>0</v>
      </c>
      <c r="L161" s="2">
        <v>3.9</v>
      </c>
      <c r="M161" s="2">
        <v>620973.03</v>
      </c>
      <c r="N161" s="2">
        <v>72303.850000000006</v>
      </c>
    </row>
    <row r="162" spans="1:14">
      <c r="A162" s="2" t="s">
        <v>62</v>
      </c>
      <c r="B162" s="3">
        <v>45658</v>
      </c>
      <c r="C162" s="2" t="s">
        <v>24</v>
      </c>
      <c r="D162" s="2" t="s">
        <v>18</v>
      </c>
      <c r="E162" s="2">
        <v>41443.410000000003</v>
      </c>
      <c r="F162" s="2">
        <v>7455</v>
      </c>
      <c r="G162" s="2">
        <v>0.17499999999999999</v>
      </c>
      <c r="H162" s="2">
        <v>16</v>
      </c>
      <c r="I162" s="2">
        <v>90.1</v>
      </c>
      <c r="J162" s="2">
        <v>4.01</v>
      </c>
      <c r="K162" s="2">
        <v>0</v>
      </c>
      <c r="L162" s="2">
        <v>3.9</v>
      </c>
      <c r="M162" s="2">
        <v>650480.06000000006</v>
      </c>
      <c r="N162" s="2">
        <v>109012.07</v>
      </c>
    </row>
    <row r="163" spans="1:14">
      <c r="A163" s="2" t="s">
        <v>62</v>
      </c>
      <c r="B163" s="3">
        <v>45689</v>
      </c>
      <c r="C163" s="2" t="s">
        <v>24</v>
      </c>
      <c r="D163" s="2" t="s">
        <v>18</v>
      </c>
      <c r="E163" s="2">
        <v>48438.85</v>
      </c>
      <c r="F163" s="2">
        <v>6992</v>
      </c>
      <c r="G163" s="2">
        <v>3.4000000000000002E-2</v>
      </c>
      <c r="H163" s="2">
        <v>20</v>
      </c>
      <c r="I163" s="2">
        <v>91</v>
      </c>
      <c r="J163" s="2">
        <v>4.01</v>
      </c>
      <c r="K163" s="2">
        <v>0</v>
      </c>
      <c r="L163" s="2">
        <v>3.9</v>
      </c>
      <c r="M163" s="2">
        <v>778298.88</v>
      </c>
      <c r="N163" s="2">
        <v>130076.72</v>
      </c>
    </row>
    <row r="164" spans="1:14">
      <c r="A164" s="2" t="s">
        <v>62</v>
      </c>
      <c r="B164" s="3">
        <v>45717</v>
      </c>
      <c r="C164" s="2" t="s">
        <v>24</v>
      </c>
      <c r="D164" s="2" t="s">
        <v>18</v>
      </c>
      <c r="E164" s="2">
        <v>57143.3</v>
      </c>
      <c r="F164" s="2">
        <v>8038</v>
      </c>
      <c r="G164" s="2">
        <v>0.193</v>
      </c>
      <c r="H164" s="2">
        <v>17</v>
      </c>
      <c r="I164" s="2">
        <v>72.599999999999994</v>
      </c>
      <c r="J164" s="2">
        <v>4.01</v>
      </c>
      <c r="K164" s="2">
        <v>0</v>
      </c>
      <c r="L164" s="2">
        <v>3.9</v>
      </c>
      <c r="M164" s="2">
        <v>677096.71</v>
      </c>
      <c r="N164" s="2">
        <v>97174.11</v>
      </c>
    </row>
    <row r="165" spans="1:14">
      <c r="A165" s="2" t="s">
        <v>62</v>
      </c>
      <c r="B165" s="3">
        <v>45748</v>
      </c>
      <c r="C165" s="2" t="s">
        <v>24</v>
      </c>
      <c r="D165" s="2" t="s">
        <v>18</v>
      </c>
      <c r="E165" s="2">
        <v>66870.62</v>
      </c>
      <c r="F165" s="2">
        <v>6055</v>
      </c>
      <c r="G165" s="2">
        <v>7.4999999999999997E-2</v>
      </c>
      <c r="H165" s="2">
        <v>19</v>
      </c>
      <c r="I165" s="2">
        <v>93.8</v>
      </c>
      <c r="J165" s="2">
        <v>4.01</v>
      </c>
      <c r="K165" s="2">
        <v>0</v>
      </c>
      <c r="L165" s="2">
        <v>3.9</v>
      </c>
      <c r="M165" s="2">
        <v>692008.64</v>
      </c>
      <c r="N165" s="2">
        <v>116337.87</v>
      </c>
    </row>
    <row r="166" spans="1:14">
      <c r="A166" s="2" t="s">
        <v>63</v>
      </c>
      <c r="B166" s="3">
        <v>45658</v>
      </c>
      <c r="C166" s="2" t="s">
        <v>20</v>
      </c>
      <c r="D166" s="2" t="s">
        <v>28</v>
      </c>
      <c r="E166" s="2">
        <v>72150.53</v>
      </c>
      <c r="F166" s="2">
        <v>9323</v>
      </c>
      <c r="G166" s="2">
        <v>0.157</v>
      </c>
      <c r="H166" s="2">
        <v>22</v>
      </c>
      <c r="I166" s="2">
        <v>82.9</v>
      </c>
      <c r="J166" s="2">
        <v>4.01</v>
      </c>
      <c r="K166" s="2">
        <v>1</v>
      </c>
      <c r="L166" s="2">
        <v>3.9</v>
      </c>
      <c r="M166" s="2">
        <v>825797.91</v>
      </c>
      <c r="N166" s="2">
        <v>130945.24</v>
      </c>
    </row>
    <row r="167" spans="1:14">
      <c r="A167" s="2" t="s">
        <v>63</v>
      </c>
      <c r="B167" s="3">
        <v>45689</v>
      </c>
      <c r="C167" s="2" t="s">
        <v>20</v>
      </c>
      <c r="D167" s="2" t="s">
        <v>28</v>
      </c>
      <c r="E167" s="2">
        <v>35303.300000000003</v>
      </c>
      <c r="F167" s="2">
        <v>8789</v>
      </c>
      <c r="G167" s="2">
        <v>0.123</v>
      </c>
      <c r="H167" s="2">
        <v>22</v>
      </c>
      <c r="I167" s="2">
        <v>86.1</v>
      </c>
      <c r="J167" s="2">
        <v>4.01</v>
      </c>
      <c r="K167" s="2">
        <v>0</v>
      </c>
      <c r="L167" s="2">
        <v>3.9</v>
      </c>
      <c r="M167" s="2">
        <v>706285.52</v>
      </c>
      <c r="N167" s="2">
        <v>138014.72</v>
      </c>
    </row>
    <row r="168" spans="1:14">
      <c r="A168" s="2" t="s">
        <v>63</v>
      </c>
      <c r="B168" s="3">
        <v>45717</v>
      </c>
      <c r="C168" s="2" t="s">
        <v>20</v>
      </c>
      <c r="D168" s="2" t="s">
        <v>28</v>
      </c>
      <c r="E168" s="2">
        <v>30301.86</v>
      </c>
      <c r="F168" s="2">
        <v>6939</v>
      </c>
      <c r="G168" s="2">
        <v>0.09</v>
      </c>
      <c r="H168" s="2">
        <v>16</v>
      </c>
      <c r="I168" s="2">
        <v>90.3</v>
      </c>
      <c r="J168" s="2">
        <v>4.01</v>
      </c>
      <c r="K168" s="2">
        <v>0</v>
      </c>
      <c r="L168" s="2">
        <v>3.9</v>
      </c>
      <c r="M168" s="2">
        <v>665534.69999999995</v>
      </c>
      <c r="N168" s="2">
        <v>113167.73</v>
      </c>
    </row>
    <row r="169" spans="1:14">
      <c r="A169" s="2" t="s">
        <v>63</v>
      </c>
      <c r="B169" s="3">
        <v>45748</v>
      </c>
      <c r="C169" s="2" t="s">
        <v>20</v>
      </c>
      <c r="D169" s="2" t="s">
        <v>28</v>
      </c>
      <c r="E169" s="2">
        <v>78432.14</v>
      </c>
      <c r="F169" s="2">
        <v>9440</v>
      </c>
      <c r="G169" s="2">
        <v>0.126</v>
      </c>
      <c r="H169" s="2">
        <v>23</v>
      </c>
      <c r="I169" s="2">
        <v>89.2</v>
      </c>
      <c r="J169" s="2">
        <v>4.01</v>
      </c>
      <c r="K169" s="2">
        <v>0</v>
      </c>
      <c r="L169" s="2">
        <v>3.9</v>
      </c>
      <c r="M169" s="2">
        <v>820729.29</v>
      </c>
      <c r="N169" s="2">
        <v>159325.47</v>
      </c>
    </row>
    <row r="170" spans="1:14">
      <c r="A170" s="2" t="s">
        <v>64</v>
      </c>
      <c r="B170" s="3">
        <v>45658</v>
      </c>
      <c r="C170" s="2" t="s">
        <v>15</v>
      </c>
      <c r="D170" s="2" t="s">
        <v>16</v>
      </c>
      <c r="E170" s="2">
        <v>62059.18</v>
      </c>
      <c r="F170" s="2">
        <v>9374</v>
      </c>
      <c r="G170" s="2">
        <v>0.13600000000000001</v>
      </c>
      <c r="H170" s="2">
        <v>25</v>
      </c>
      <c r="I170" s="2">
        <v>87.1</v>
      </c>
      <c r="J170" s="2">
        <v>4.01</v>
      </c>
      <c r="K170" s="2">
        <v>0</v>
      </c>
      <c r="L170" s="2">
        <v>3.9</v>
      </c>
      <c r="M170" s="2">
        <v>739831.73</v>
      </c>
      <c r="N170" s="2">
        <v>119490.21</v>
      </c>
    </row>
    <row r="171" spans="1:14">
      <c r="A171" s="2" t="s">
        <v>64</v>
      </c>
      <c r="B171" s="3">
        <v>45689</v>
      </c>
      <c r="C171" s="2" t="s">
        <v>15</v>
      </c>
      <c r="D171" s="2" t="s">
        <v>16</v>
      </c>
      <c r="E171" s="2">
        <v>32834.480000000003</v>
      </c>
      <c r="F171" s="2">
        <v>7576</v>
      </c>
      <c r="G171" s="2">
        <v>9.9000000000000005E-2</v>
      </c>
      <c r="H171" s="2">
        <v>15</v>
      </c>
      <c r="I171" s="2">
        <v>84.1</v>
      </c>
      <c r="J171" s="2">
        <v>4.01</v>
      </c>
      <c r="K171" s="2">
        <v>0</v>
      </c>
      <c r="L171" s="2">
        <v>3.9</v>
      </c>
      <c r="M171" s="2">
        <v>593637.14</v>
      </c>
      <c r="N171" s="2">
        <v>106648.14</v>
      </c>
    </row>
    <row r="172" spans="1:14">
      <c r="A172" s="2" t="s">
        <v>64</v>
      </c>
      <c r="B172" s="3">
        <v>45717</v>
      </c>
      <c r="C172" s="2" t="s">
        <v>15</v>
      </c>
      <c r="D172" s="2" t="s">
        <v>16</v>
      </c>
      <c r="E172" s="2">
        <v>50825.08</v>
      </c>
      <c r="F172" s="2">
        <v>8949</v>
      </c>
      <c r="G172" s="2">
        <v>0.157</v>
      </c>
      <c r="H172" s="2">
        <v>21</v>
      </c>
      <c r="I172" s="2">
        <v>84.7</v>
      </c>
      <c r="J172" s="2">
        <v>4.01</v>
      </c>
      <c r="K172" s="2">
        <v>0</v>
      </c>
      <c r="L172" s="2">
        <v>3.9</v>
      </c>
      <c r="M172" s="2">
        <v>769702.76</v>
      </c>
      <c r="N172" s="2">
        <v>158697</v>
      </c>
    </row>
    <row r="173" spans="1:14">
      <c r="A173" s="2" t="s">
        <v>64</v>
      </c>
      <c r="B173" s="3">
        <v>45748</v>
      </c>
      <c r="C173" s="2" t="s">
        <v>15</v>
      </c>
      <c r="D173" s="2" t="s">
        <v>16</v>
      </c>
      <c r="E173" s="2">
        <v>36606.51</v>
      </c>
      <c r="F173" s="2">
        <v>7671</v>
      </c>
      <c r="G173" s="2">
        <v>0.11799999999999999</v>
      </c>
      <c r="H173" s="2">
        <v>18</v>
      </c>
      <c r="I173" s="2">
        <v>89.8</v>
      </c>
      <c r="J173" s="2">
        <v>4.01</v>
      </c>
      <c r="K173" s="2">
        <v>0</v>
      </c>
      <c r="L173" s="2">
        <v>3.9</v>
      </c>
      <c r="M173" s="2">
        <v>679731.57</v>
      </c>
      <c r="N173" s="2">
        <v>121546.42</v>
      </c>
    </row>
    <row r="174" spans="1:14">
      <c r="A174" s="2" t="s">
        <v>65</v>
      </c>
      <c r="B174" s="3">
        <v>45658</v>
      </c>
      <c r="C174" s="2" t="s">
        <v>15</v>
      </c>
      <c r="D174" s="2" t="s">
        <v>16</v>
      </c>
      <c r="E174" s="2">
        <v>65237.79</v>
      </c>
      <c r="F174" s="2">
        <v>8741</v>
      </c>
      <c r="G174" s="2">
        <v>0.157</v>
      </c>
      <c r="H174" s="2">
        <v>20</v>
      </c>
      <c r="I174" s="2">
        <v>94.4</v>
      </c>
      <c r="J174" s="2">
        <v>4.01</v>
      </c>
      <c r="K174" s="2">
        <v>0</v>
      </c>
      <c r="L174" s="2">
        <v>3.9</v>
      </c>
      <c r="M174" s="2">
        <v>780344.18</v>
      </c>
      <c r="N174" s="2">
        <v>118239.09</v>
      </c>
    </row>
    <row r="175" spans="1:14">
      <c r="A175" s="2" t="s">
        <v>65</v>
      </c>
      <c r="B175" s="3">
        <v>45689</v>
      </c>
      <c r="C175" s="2" t="s">
        <v>15</v>
      </c>
      <c r="D175" s="2" t="s">
        <v>16</v>
      </c>
      <c r="E175" s="2">
        <v>43645.98</v>
      </c>
      <c r="F175" s="2">
        <v>9480</v>
      </c>
      <c r="G175" s="2">
        <v>0.109</v>
      </c>
      <c r="H175" s="2">
        <v>22</v>
      </c>
      <c r="I175" s="2">
        <v>89</v>
      </c>
      <c r="J175" s="2">
        <v>4.01</v>
      </c>
      <c r="K175" s="2">
        <v>0</v>
      </c>
      <c r="L175" s="2">
        <v>3.9</v>
      </c>
      <c r="M175" s="2">
        <v>721364.11</v>
      </c>
      <c r="N175" s="2">
        <v>147272.81</v>
      </c>
    </row>
    <row r="176" spans="1:14">
      <c r="A176" s="2" t="s">
        <v>65</v>
      </c>
      <c r="B176" s="3">
        <v>45717</v>
      </c>
      <c r="C176" s="2" t="s">
        <v>15</v>
      </c>
      <c r="D176" s="2" t="s">
        <v>16</v>
      </c>
      <c r="E176" s="2">
        <v>68040.149999999994</v>
      </c>
      <c r="F176" s="2">
        <v>9826</v>
      </c>
      <c r="G176" s="2">
        <v>0.125</v>
      </c>
      <c r="H176" s="2">
        <v>20</v>
      </c>
      <c r="I176" s="2">
        <v>83.9</v>
      </c>
      <c r="J176" s="2">
        <v>4.01</v>
      </c>
      <c r="K176" s="2">
        <v>0</v>
      </c>
      <c r="L176" s="2">
        <v>3.9</v>
      </c>
      <c r="M176" s="2">
        <v>758138.29</v>
      </c>
      <c r="N176" s="2">
        <v>132975.26</v>
      </c>
    </row>
    <row r="177" spans="1:14">
      <c r="A177" s="2" t="s">
        <v>65</v>
      </c>
      <c r="B177" s="3">
        <v>45748</v>
      </c>
      <c r="C177" s="2" t="s">
        <v>15</v>
      </c>
      <c r="D177" s="2" t="s">
        <v>16</v>
      </c>
      <c r="E177" s="2">
        <v>63043.94</v>
      </c>
      <c r="F177" s="2">
        <v>10402</v>
      </c>
      <c r="G177" s="2">
        <v>0.159</v>
      </c>
      <c r="H177" s="2">
        <v>23</v>
      </c>
      <c r="I177" s="2">
        <v>93.9</v>
      </c>
      <c r="J177" s="2">
        <v>4.01</v>
      </c>
      <c r="K177" s="2">
        <v>0</v>
      </c>
      <c r="L177" s="2">
        <v>3.9</v>
      </c>
      <c r="M177" s="2">
        <v>804264</v>
      </c>
      <c r="N177" s="2">
        <v>167117.91</v>
      </c>
    </row>
    <row r="178" spans="1:14">
      <c r="A178" s="2" t="s">
        <v>66</v>
      </c>
      <c r="B178" s="3">
        <v>45658</v>
      </c>
      <c r="C178" s="2" t="s">
        <v>27</v>
      </c>
      <c r="D178" s="2" t="s">
        <v>21</v>
      </c>
      <c r="E178" s="2">
        <v>67494.09</v>
      </c>
      <c r="F178" s="2">
        <v>12361</v>
      </c>
      <c r="G178" s="2">
        <v>4.5999999999999999E-2</v>
      </c>
      <c r="H178" s="2">
        <v>24</v>
      </c>
      <c r="I178" s="2">
        <v>76.599999999999994</v>
      </c>
      <c r="J178" s="2">
        <v>4.01</v>
      </c>
      <c r="K178" s="2">
        <v>1</v>
      </c>
      <c r="L178" s="2">
        <v>3.9</v>
      </c>
      <c r="M178" s="2">
        <v>887537.75</v>
      </c>
      <c r="N178" s="2">
        <v>160362.92000000001</v>
      </c>
    </row>
    <row r="179" spans="1:14">
      <c r="A179" s="2" t="s">
        <v>66</v>
      </c>
      <c r="B179" s="3">
        <v>45689</v>
      </c>
      <c r="C179" s="2" t="s">
        <v>27</v>
      </c>
      <c r="D179" s="2" t="s">
        <v>21</v>
      </c>
      <c r="E179" s="2">
        <v>29389.32</v>
      </c>
      <c r="F179" s="2">
        <v>7925</v>
      </c>
      <c r="G179" s="2">
        <v>0.17699999999999999</v>
      </c>
      <c r="H179" s="2">
        <v>21</v>
      </c>
      <c r="I179" s="2">
        <v>90.9</v>
      </c>
      <c r="J179" s="2">
        <v>4.01</v>
      </c>
      <c r="K179" s="2">
        <v>0</v>
      </c>
      <c r="L179" s="2">
        <v>3.9</v>
      </c>
      <c r="M179" s="2">
        <v>783582</v>
      </c>
      <c r="N179" s="2">
        <v>130670.93</v>
      </c>
    </row>
    <row r="180" spans="1:14">
      <c r="A180" s="2" t="s">
        <v>66</v>
      </c>
      <c r="B180" s="3">
        <v>45717</v>
      </c>
      <c r="C180" s="2" t="s">
        <v>27</v>
      </c>
      <c r="D180" s="2" t="s">
        <v>21</v>
      </c>
      <c r="E180" s="2">
        <v>40535.089999999997</v>
      </c>
      <c r="F180" s="2">
        <v>8870</v>
      </c>
      <c r="G180" s="2">
        <v>4.1000000000000002E-2</v>
      </c>
      <c r="H180" s="2">
        <v>21</v>
      </c>
      <c r="I180" s="2">
        <v>86.6</v>
      </c>
      <c r="J180" s="2">
        <v>4.01</v>
      </c>
      <c r="K180" s="2">
        <v>0</v>
      </c>
      <c r="L180" s="2">
        <v>3.9</v>
      </c>
      <c r="M180" s="2">
        <v>781955.52</v>
      </c>
      <c r="N180" s="2">
        <v>152578.71</v>
      </c>
    </row>
    <row r="181" spans="1:14">
      <c r="A181" s="2" t="s">
        <v>66</v>
      </c>
      <c r="B181" s="3">
        <v>45748</v>
      </c>
      <c r="C181" s="2" t="s">
        <v>27</v>
      </c>
      <c r="D181" s="2" t="s">
        <v>21</v>
      </c>
      <c r="E181" s="2">
        <v>74881.56</v>
      </c>
      <c r="F181" s="2">
        <v>9999</v>
      </c>
      <c r="G181" s="2">
        <v>1.2999999999999999E-2</v>
      </c>
      <c r="H181" s="2">
        <v>20</v>
      </c>
      <c r="I181" s="2">
        <v>89.6</v>
      </c>
      <c r="J181" s="2">
        <v>4.01</v>
      </c>
      <c r="K181" s="2">
        <v>0</v>
      </c>
      <c r="L181" s="2">
        <v>3.9</v>
      </c>
      <c r="M181" s="2">
        <v>898031.04</v>
      </c>
      <c r="N181" s="2">
        <v>138666.5</v>
      </c>
    </row>
    <row r="182" spans="1:14">
      <c r="A182" s="2" t="s">
        <v>67</v>
      </c>
      <c r="B182" s="3">
        <v>45658</v>
      </c>
      <c r="C182" s="2" t="s">
        <v>27</v>
      </c>
      <c r="D182" s="2" t="s">
        <v>16</v>
      </c>
      <c r="E182" s="2">
        <v>68491.11</v>
      </c>
      <c r="F182" s="2">
        <v>11154</v>
      </c>
      <c r="G182" s="2">
        <v>1E-3</v>
      </c>
      <c r="H182" s="2">
        <v>24</v>
      </c>
      <c r="I182" s="2">
        <v>89.4</v>
      </c>
      <c r="J182" s="2">
        <v>4.01</v>
      </c>
      <c r="K182" s="2">
        <v>1</v>
      </c>
      <c r="L182" s="2">
        <v>3.9</v>
      </c>
      <c r="M182" s="2">
        <v>855341.28</v>
      </c>
      <c r="N182" s="2">
        <v>175823.8</v>
      </c>
    </row>
    <row r="183" spans="1:14">
      <c r="A183" s="2" t="s">
        <v>67</v>
      </c>
      <c r="B183" s="3">
        <v>45689</v>
      </c>
      <c r="C183" s="2" t="s">
        <v>27</v>
      </c>
      <c r="D183" s="2" t="s">
        <v>16</v>
      </c>
      <c r="E183" s="2">
        <v>45209.25</v>
      </c>
      <c r="F183" s="2">
        <v>9287</v>
      </c>
      <c r="G183" s="2">
        <v>0.14099999999999999</v>
      </c>
      <c r="H183" s="2">
        <v>22</v>
      </c>
      <c r="I183" s="2">
        <v>86.4</v>
      </c>
      <c r="J183" s="2">
        <v>4.01</v>
      </c>
      <c r="K183" s="2">
        <v>0</v>
      </c>
      <c r="L183" s="2">
        <v>3.9</v>
      </c>
      <c r="M183" s="2">
        <v>751393.88</v>
      </c>
      <c r="N183" s="2">
        <v>91480.320000000007</v>
      </c>
    </row>
    <row r="184" spans="1:14">
      <c r="A184" s="2" t="s">
        <v>67</v>
      </c>
      <c r="B184" s="3">
        <v>45717</v>
      </c>
      <c r="C184" s="2" t="s">
        <v>27</v>
      </c>
      <c r="D184" s="2" t="s">
        <v>16</v>
      </c>
      <c r="E184" s="2">
        <v>63010.23</v>
      </c>
      <c r="F184" s="2">
        <v>9812</v>
      </c>
      <c r="G184" s="2">
        <v>0.113</v>
      </c>
      <c r="H184" s="2">
        <v>24</v>
      </c>
      <c r="I184" s="2">
        <v>76.8</v>
      </c>
      <c r="J184" s="2">
        <v>4.01</v>
      </c>
      <c r="K184" s="2">
        <v>1</v>
      </c>
      <c r="L184" s="2">
        <v>3.9</v>
      </c>
      <c r="M184" s="2">
        <v>761077.08</v>
      </c>
      <c r="N184" s="2">
        <v>113605.93</v>
      </c>
    </row>
    <row r="185" spans="1:14">
      <c r="A185" s="2" t="s">
        <v>67</v>
      </c>
      <c r="B185" s="3">
        <v>45748</v>
      </c>
      <c r="C185" s="2" t="s">
        <v>27</v>
      </c>
      <c r="D185" s="2" t="s">
        <v>16</v>
      </c>
      <c r="E185" s="2">
        <v>57948.88</v>
      </c>
      <c r="F185" s="2">
        <v>10741</v>
      </c>
      <c r="G185" s="2">
        <v>7.0000000000000007E-2</v>
      </c>
      <c r="H185" s="2">
        <v>25</v>
      </c>
      <c r="I185" s="2">
        <v>90.1</v>
      </c>
      <c r="J185" s="2">
        <v>4.01</v>
      </c>
      <c r="K185" s="2">
        <v>0</v>
      </c>
      <c r="L185" s="2">
        <v>3.9</v>
      </c>
      <c r="M185" s="2">
        <v>819660.59</v>
      </c>
      <c r="N185" s="2">
        <v>172699.95</v>
      </c>
    </row>
    <row r="186" spans="1:14">
      <c r="A186" s="2" t="s">
        <v>68</v>
      </c>
      <c r="B186" s="3">
        <v>45658</v>
      </c>
      <c r="C186" s="2" t="s">
        <v>20</v>
      </c>
      <c r="D186" s="2" t="s">
        <v>18</v>
      </c>
      <c r="E186" s="2">
        <v>71941.62</v>
      </c>
      <c r="F186" s="2">
        <v>6084</v>
      </c>
      <c r="G186" s="2">
        <v>7.1999999999999995E-2</v>
      </c>
      <c r="H186" s="2">
        <v>13</v>
      </c>
      <c r="I186" s="2">
        <v>93.7</v>
      </c>
      <c r="J186" s="2">
        <v>4.01</v>
      </c>
      <c r="K186" s="2">
        <v>0</v>
      </c>
      <c r="L186" s="2">
        <v>3.9</v>
      </c>
      <c r="M186" s="2">
        <v>681855.56</v>
      </c>
      <c r="N186" s="2">
        <v>117645.61</v>
      </c>
    </row>
    <row r="187" spans="1:14">
      <c r="A187" s="2" t="s">
        <v>68</v>
      </c>
      <c r="B187" s="3">
        <v>45689</v>
      </c>
      <c r="C187" s="2" t="s">
        <v>20</v>
      </c>
      <c r="D187" s="2" t="s">
        <v>18</v>
      </c>
      <c r="E187" s="2">
        <v>57147.88</v>
      </c>
      <c r="F187" s="2">
        <v>5252</v>
      </c>
      <c r="G187" s="2">
        <v>0.161</v>
      </c>
      <c r="H187" s="2">
        <v>15</v>
      </c>
      <c r="I187" s="2">
        <v>95.5</v>
      </c>
      <c r="J187" s="2">
        <v>4.01</v>
      </c>
      <c r="K187" s="2">
        <v>0</v>
      </c>
      <c r="L187" s="2">
        <v>3.9</v>
      </c>
      <c r="M187" s="2">
        <v>678311.17</v>
      </c>
      <c r="N187" s="2">
        <v>132029.76000000001</v>
      </c>
    </row>
    <row r="188" spans="1:14">
      <c r="A188" s="2" t="s">
        <v>68</v>
      </c>
      <c r="B188" s="3">
        <v>45717</v>
      </c>
      <c r="C188" s="2" t="s">
        <v>20</v>
      </c>
      <c r="D188" s="2" t="s">
        <v>18</v>
      </c>
      <c r="E188" s="2">
        <v>48031.74</v>
      </c>
      <c r="F188" s="2">
        <v>6516</v>
      </c>
      <c r="G188" s="2">
        <v>6.7000000000000004E-2</v>
      </c>
      <c r="H188" s="2">
        <v>14</v>
      </c>
      <c r="I188" s="2">
        <v>99</v>
      </c>
      <c r="J188" s="2">
        <v>4.01</v>
      </c>
      <c r="K188" s="2">
        <v>1</v>
      </c>
      <c r="L188" s="2">
        <v>3.9</v>
      </c>
      <c r="M188" s="2">
        <v>765906.95</v>
      </c>
      <c r="N188" s="2">
        <v>114005.9</v>
      </c>
    </row>
    <row r="189" spans="1:14">
      <c r="A189" s="2" t="s">
        <v>68</v>
      </c>
      <c r="B189" s="3">
        <v>45748</v>
      </c>
      <c r="C189" s="2" t="s">
        <v>20</v>
      </c>
      <c r="D189" s="2" t="s">
        <v>18</v>
      </c>
      <c r="E189" s="2">
        <v>72784.800000000003</v>
      </c>
      <c r="F189" s="2">
        <v>7932</v>
      </c>
      <c r="G189" s="2">
        <v>9.4E-2</v>
      </c>
      <c r="H189" s="2">
        <v>20</v>
      </c>
      <c r="I189" s="2">
        <v>74.900000000000006</v>
      </c>
      <c r="J189" s="2">
        <v>4.01</v>
      </c>
      <c r="K189" s="2">
        <v>0</v>
      </c>
      <c r="L189" s="2">
        <v>3.9</v>
      </c>
      <c r="M189" s="2">
        <v>712546.38</v>
      </c>
      <c r="N189" s="2">
        <v>101480.04</v>
      </c>
    </row>
    <row r="190" spans="1:14">
      <c r="A190" s="2" t="s">
        <v>69</v>
      </c>
      <c r="B190" s="3">
        <v>45658</v>
      </c>
      <c r="C190" s="2" t="s">
        <v>15</v>
      </c>
      <c r="D190" s="2" t="s">
        <v>18</v>
      </c>
      <c r="E190" s="2">
        <v>71641.899999999994</v>
      </c>
      <c r="F190" s="2">
        <v>3506</v>
      </c>
      <c r="G190" s="2">
        <v>0</v>
      </c>
      <c r="H190" s="2">
        <v>11</v>
      </c>
      <c r="I190" s="2">
        <v>86.4</v>
      </c>
      <c r="J190" s="2">
        <v>4.01</v>
      </c>
      <c r="K190" s="2">
        <v>0</v>
      </c>
      <c r="L190" s="2">
        <v>3.9</v>
      </c>
      <c r="M190" s="2">
        <v>625993.82999999996</v>
      </c>
      <c r="N190" s="2">
        <v>98960.320000000007</v>
      </c>
    </row>
    <row r="191" spans="1:14">
      <c r="A191" s="2" t="s">
        <v>69</v>
      </c>
      <c r="B191" s="3">
        <v>45689</v>
      </c>
      <c r="C191" s="2" t="s">
        <v>15</v>
      </c>
      <c r="D191" s="2" t="s">
        <v>18</v>
      </c>
      <c r="E191" s="2">
        <v>55788.61</v>
      </c>
      <c r="F191" s="2">
        <v>2312</v>
      </c>
      <c r="G191" s="2">
        <v>5.8000000000000003E-2</v>
      </c>
      <c r="H191" s="2">
        <v>10</v>
      </c>
      <c r="I191" s="2">
        <v>91.3</v>
      </c>
      <c r="J191" s="2">
        <v>4.01</v>
      </c>
      <c r="K191" s="2">
        <v>0</v>
      </c>
      <c r="L191" s="2">
        <v>3.9</v>
      </c>
      <c r="M191" s="2">
        <v>550962.93000000005</v>
      </c>
      <c r="N191" s="2">
        <v>97144.58</v>
      </c>
    </row>
    <row r="192" spans="1:14">
      <c r="A192" s="2" t="s">
        <v>69</v>
      </c>
      <c r="B192" s="3">
        <v>45717</v>
      </c>
      <c r="C192" s="2" t="s">
        <v>15</v>
      </c>
      <c r="D192" s="2" t="s">
        <v>18</v>
      </c>
      <c r="E192" s="2">
        <v>37705.879999999997</v>
      </c>
      <c r="F192" s="2">
        <v>1268</v>
      </c>
      <c r="G192" s="2">
        <v>0.25900000000000001</v>
      </c>
      <c r="H192" s="2">
        <v>9</v>
      </c>
      <c r="I192" s="2">
        <v>84.1</v>
      </c>
      <c r="J192" s="2">
        <v>4.01</v>
      </c>
      <c r="K192" s="2">
        <v>0</v>
      </c>
      <c r="L192" s="2">
        <v>3.9</v>
      </c>
      <c r="M192" s="2">
        <v>443275.59</v>
      </c>
      <c r="N192" s="2">
        <v>53544.36</v>
      </c>
    </row>
    <row r="193" spans="1:14">
      <c r="A193" s="2" t="s">
        <v>69</v>
      </c>
      <c r="B193" s="3">
        <v>45748</v>
      </c>
      <c r="C193" s="2" t="s">
        <v>15</v>
      </c>
      <c r="D193" s="2" t="s">
        <v>18</v>
      </c>
      <c r="E193" s="2">
        <v>54966.18</v>
      </c>
      <c r="F193" s="2">
        <v>4423</v>
      </c>
      <c r="G193" s="2">
        <v>0.186</v>
      </c>
      <c r="H193" s="2">
        <v>13</v>
      </c>
      <c r="I193" s="2">
        <v>88.7</v>
      </c>
      <c r="J193" s="2">
        <v>4.01</v>
      </c>
      <c r="K193" s="2">
        <v>0</v>
      </c>
      <c r="L193" s="2">
        <v>3.9</v>
      </c>
      <c r="M193" s="2">
        <v>554012.06999999995</v>
      </c>
      <c r="N193" s="2">
        <v>81101.62</v>
      </c>
    </row>
    <row r="194" spans="1:14">
      <c r="A194" s="2" t="s">
        <v>70</v>
      </c>
      <c r="B194" s="3">
        <v>45658</v>
      </c>
      <c r="C194" s="2" t="s">
        <v>27</v>
      </c>
      <c r="D194" s="2" t="s">
        <v>16</v>
      </c>
      <c r="E194" s="2">
        <v>81796.740000000005</v>
      </c>
      <c r="F194" s="2">
        <v>6177</v>
      </c>
      <c r="G194" s="2">
        <v>0.16400000000000001</v>
      </c>
      <c r="H194" s="2">
        <v>14</v>
      </c>
      <c r="I194" s="2">
        <v>87.9</v>
      </c>
      <c r="J194" s="2">
        <v>4.01</v>
      </c>
      <c r="K194" s="2">
        <v>0</v>
      </c>
      <c r="L194" s="2">
        <v>3.9</v>
      </c>
      <c r="M194" s="2">
        <v>643428.85</v>
      </c>
      <c r="N194" s="2">
        <v>94477.63</v>
      </c>
    </row>
    <row r="195" spans="1:14">
      <c r="A195" s="2" t="s">
        <v>70</v>
      </c>
      <c r="B195" s="3">
        <v>45689</v>
      </c>
      <c r="C195" s="2" t="s">
        <v>27</v>
      </c>
      <c r="D195" s="2" t="s">
        <v>16</v>
      </c>
      <c r="E195" s="2">
        <v>51133.43</v>
      </c>
      <c r="F195" s="2">
        <v>5150</v>
      </c>
      <c r="G195" s="2">
        <v>0.15</v>
      </c>
      <c r="H195" s="2">
        <v>12</v>
      </c>
      <c r="I195" s="2">
        <v>88.5</v>
      </c>
      <c r="J195" s="2">
        <v>4.01</v>
      </c>
      <c r="K195" s="2">
        <v>0</v>
      </c>
      <c r="L195" s="2">
        <v>3.9</v>
      </c>
      <c r="M195" s="2">
        <v>611924.27</v>
      </c>
      <c r="N195" s="2">
        <v>115488.75</v>
      </c>
    </row>
    <row r="196" spans="1:14">
      <c r="A196" s="2" t="s">
        <v>70</v>
      </c>
      <c r="B196" s="3">
        <v>45717</v>
      </c>
      <c r="C196" s="2" t="s">
        <v>27</v>
      </c>
      <c r="D196" s="2" t="s">
        <v>16</v>
      </c>
      <c r="E196" s="2">
        <v>40220.18</v>
      </c>
      <c r="F196" s="2">
        <v>3783</v>
      </c>
      <c r="G196" s="2">
        <v>8.8999999999999996E-2</v>
      </c>
      <c r="H196" s="2">
        <v>14</v>
      </c>
      <c r="I196" s="2">
        <v>86.6</v>
      </c>
      <c r="J196" s="2">
        <v>4.01</v>
      </c>
      <c r="K196" s="2">
        <v>0</v>
      </c>
      <c r="L196" s="2">
        <v>3.9</v>
      </c>
      <c r="M196" s="2">
        <v>559422.02</v>
      </c>
      <c r="N196" s="2">
        <v>73528.740000000005</v>
      </c>
    </row>
    <row r="197" spans="1:14">
      <c r="A197" s="2" t="s">
        <v>70</v>
      </c>
      <c r="B197" s="3">
        <v>45748</v>
      </c>
      <c r="C197" s="2" t="s">
        <v>27</v>
      </c>
      <c r="D197" s="2" t="s">
        <v>16</v>
      </c>
      <c r="E197" s="2">
        <v>41657.64</v>
      </c>
      <c r="F197" s="2">
        <v>3135</v>
      </c>
      <c r="G197" s="2">
        <v>0.22900000000000001</v>
      </c>
      <c r="H197" s="2">
        <v>7</v>
      </c>
      <c r="I197" s="2">
        <v>85.4</v>
      </c>
      <c r="J197" s="2">
        <v>4.01</v>
      </c>
      <c r="K197" s="2">
        <v>0</v>
      </c>
      <c r="L197" s="2">
        <v>3.9</v>
      </c>
      <c r="M197" s="2">
        <v>449465.06</v>
      </c>
      <c r="N197" s="2">
        <v>65694.78</v>
      </c>
    </row>
    <row r="198" spans="1:14">
      <c r="A198" s="2" t="s">
        <v>71</v>
      </c>
      <c r="B198" s="3">
        <v>45658</v>
      </c>
      <c r="C198" s="2" t="s">
        <v>20</v>
      </c>
      <c r="D198" s="2" t="s">
        <v>16</v>
      </c>
      <c r="E198" s="2">
        <v>71851.45</v>
      </c>
      <c r="F198" s="2">
        <v>4970</v>
      </c>
      <c r="G198" s="2">
        <v>9.8000000000000004E-2</v>
      </c>
      <c r="H198" s="2">
        <v>11</v>
      </c>
      <c r="I198" s="2">
        <v>89.6</v>
      </c>
      <c r="J198" s="2">
        <v>4.01</v>
      </c>
      <c r="K198" s="2">
        <v>0</v>
      </c>
      <c r="L198" s="2">
        <v>3.9</v>
      </c>
      <c r="M198" s="2">
        <v>691447.43</v>
      </c>
      <c r="N198" s="2">
        <v>114077.69</v>
      </c>
    </row>
    <row r="199" spans="1:14">
      <c r="A199" s="2" t="s">
        <v>71</v>
      </c>
      <c r="B199" s="3">
        <v>45689</v>
      </c>
      <c r="C199" s="2" t="s">
        <v>20</v>
      </c>
      <c r="D199" s="2" t="s">
        <v>16</v>
      </c>
      <c r="E199" s="2">
        <v>54002.83</v>
      </c>
      <c r="F199" s="2">
        <v>4366</v>
      </c>
      <c r="G199" s="2">
        <v>2.7E-2</v>
      </c>
      <c r="H199" s="2">
        <v>15</v>
      </c>
      <c r="I199" s="2">
        <v>90.6</v>
      </c>
      <c r="J199" s="2">
        <v>4.01</v>
      </c>
      <c r="K199" s="2">
        <v>0</v>
      </c>
      <c r="L199" s="2">
        <v>3.9</v>
      </c>
      <c r="M199" s="2">
        <v>574066.61</v>
      </c>
      <c r="N199" s="2">
        <v>124674.67</v>
      </c>
    </row>
    <row r="200" spans="1:14">
      <c r="A200" s="2" t="s">
        <v>71</v>
      </c>
      <c r="B200" s="3">
        <v>45717</v>
      </c>
      <c r="C200" s="2" t="s">
        <v>20</v>
      </c>
      <c r="D200" s="2" t="s">
        <v>16</v>
      </c>
      <c r="E200" s="2">
        <v>54479.33</v>
      </c>
      <c r="F200" s="2">
        <v>5012</v>
      </c>
      <c r="G200" s="2">
        <v>0.28399999999999997</v>
      </c>
      <c r="H200" s="2">
        <v>13</v>
      </c>
      <c r="I200" s="2">
        <v>86</v>
      </c>
      <c r="J200" s="2">
        <v>4.01</v>
      </c>
      <c r="K200" s="2">
        <v>1</v>
      </c>
      <c r="L200" s="2">
        <v>3.9</v>
      </c>
      <c r="M200" s="2">
        <v>578949.84</v>
      </c>
      <c r="N200" s="2">
        <v>80253.649999999994</v>
      </c>
    </row>
    <row r="201" spans="1:14">
      <c r="A201" s="2" t="s">
        <v>71</v>
      </c>
      <c r="B201" s="3">
        <v>45748</v>
      </c>
      <c r="C201" s="2" t="s">
        <v>20</v>
      </c>
      <c r="D201" s="2" t="s">
        <v>16</v>
      </c>
      <c r="E201" s="2">
        <v>61391.8</v>
      </c>
      <c r="F201" s="2">
        <v>5575</v>
      </c>
      <c r="G201" s="2">
        <v>0.189</v>
      </c>
      <c r="H201" s="2">
        <v>18</v>
      </c>
      <c r="I201" s="2">
        <v>90</v>
      </c>
      <c r="J201" s="2">
        <v>4.01</v>
      </c>
      <c r="K201" s="2">
        <v>0</v>
      </c>
      <c r="L201" s="2">
        <v>3.9</v>
      </c>
      <c r="M201" s="2">
        <v>735786.64</v>
      </c>
      <c r="N201" s="2">
        <v>126540.66</v>
      </c>
    </row>
    <row r="202" spans="1:14">
      <c r="A202" s="2" t="s">
        <v>72</v>
      </c>
      <c r="B202" s="3">
        <v>45658</v>
      </c>
      <c r="C202" s="2" t="s">
        <v>15</v>
      </c>
      <c r="D202" s="2" t="s">
        <v>21</v>
      </c>
      <c r="E202" s="2">
        <v>22312.93</v>
      </c>
      <c r="F202" s="2">
        <v>5955</v>
      </c>
      <c r="G202" s="2">
        <v>0.123</v>
      </c>
      <c r="H202" s="2">
        <v>13</v>
      </c>
      <c r="I202" s="2">
        <v>84.2</v>
      </c>
      <c r="J202" s="2">
        <v>4.01</v>
      </c>
      <c r="K202" s="2">
        <v>1</v>
      </c>
      <c r="L202" s="2">
        <v>3.9</v>
      </c>
      <c r="M202" s="2">
        <v>598904.9</v>
      </c>
      <c r="N202" s="2">
        <v>72861</v>
      </c>
    </row>
    <row r="203" spans="1:14">
      <c r="A203" s="2" t="s">
        <v>72</v>
      </c>
      <c r="B203" s="3">
        <v>45689</v>
      </c>
      <c r="C203" s="2" t="s">
        <v>15</v>
      </c>
      <c r="D203" s="2" t="s">
        <v>21</v>
      </c>
      <c r="E203" s="2">
        <v>78111.97</v>
      </c>
      <c r="F203" s="2">
        <v>6389</v>
      </c>
      <c r="G203" s="2">
        <v>0.15</v>
      </c>
      <c r="H203" s="2">
        <v>13</v>
      </c>
      <c r="I203" s="2">
        <v>83.9</v>
      </c>
      <c r="J203" s="2">
        <v>4.01</v>
      </c>
      <c r="K203" s="2">
        <v>0</v>
      </c>
      <c r="L203" s="2">
        <v>3.9</v>
      </c>
      <c r="M203" s="2">
        <v>787715.51</v>
      </c>
      <c r="N203" s="2">
        <v>128969.62</v>
      </c>
    </row>
    <row r="204" spans="1:14">
      <c r="A204" s="2" t="s">
        <v>72</v>
      </c>
      <c r="B204" s="3">
        <v>45717</v>
      </c>
      <c r="C204" s="2" t="s">
        <v>15</v>
      </c>
      <c r="D204" s="2" t="s">
        <v>21</v>
      </c>
      <c r="E204" s="2">
        <v>35203.230000000003</v>
      </c>
      <c r="F204" s="2">
        <v>6896</v>
      </c>
      <c r="G204" s="2">
        <v>3.2000000000000001E-2</v>
      </c>
      <c r="H204" s="2">
        <v>14</v>
      </c>
      <c r="I204" s="2">
        <v>80.8</v>
      </c>
      <c r="J204" s="2">
        <v>4.01</v>
      </c>
      <c r="K204" s="2">
        <v>1</v>
      </c>
      <c r="L204" s="2">
        <v>3.9</v>
      </c>
      <c r="M204" s="2">
        <v>607084.92000000004</v>
      </c>
      <c r="N204" s="2">
        <v>98558.49</v>
      </c>
    </row>
    <row r="205" spans="1:14">
      <c r="A205" s="2" t="s">
        <v>72</v>
      </c>
      <c r="B205" s="3">
        <v>45748</v>
      </c>
      <c r="C205" s="2" t="s">
        <v>15</v>
      </c>
      <c r="D205" s="2" t="s">
        <v>21</v>
      </c>
      <c r="E205" s="2">
        <v>64104.28</v>
      </c>
      <c r="F205" s="2">
        <v>6015</v>
      </c>
      <c r="G205" s="2">
        <v>0.127</v>
      </c>
      <c r="H205" s="2">
        <v>15</v>
      </c>
      <c r="I205" s="2">
        <v>88.7</v>
      </c>
      <c r="J205" s="2">
        <v>4.01</v>
      </c>
      <c r="K205" s="2">
        <v>0</v>
      </c>
      <c r="L205" s="2">
        <v>3.9</v>
      </c>
      <c r="M205" s="2">
        <v>650795.49</v>
      </c>
      <c r="N205" s="2">
        <v>103035.89</v>
      </c>
    </row>
    <row r="206" spans="1:14">
      <c r="A206" s="2" t="s">
        <v>73</v>
      </c>
      <c r="B206" s="3">
        <v>45658</v>
      </c>
      <c r="C206" s="2" t="s">
        <v>15</v>
      </c>
      <c r="D206" s="2" t="s">
        <v>28</v>
      </c>
      <c r="E206" s="2">
        <v>92090.14</v>
      </c>
      <c r="F206" s="2">
        <v>9476</v>
      </c>
      <c r="G206" s="2">
        <v>7.0000000000000007E-2</v>
      </c>
      <c r="H206" s="2">
        <v>24</v>
      </c>
      <c r="I206" s="2">
        <v>94.3</v>
      </c>
      <c r="J206" s="2">
        <v>4.01</v>
      </c>
      <c r="K206" s="2">
        <v>0</v>
      </c>
      <c r="L206" s="2">
        <v>3.9</v>
      </c>
      <c r="M206" s="2">
        <v>825060.52</v>
      </c>
      <c r="N206" s="2">
        <v>143613.15</v>
      </c>
    </row>
    <row r="207" spans="1:14">
      <c r="A207" s="2" t="s">
        <v>73</v>
      </c>
      <c r="B207" s="3">
        <v>45689</v>
      </c>
      <c r="C207" s="2" t="s">
        <v>15</v>
      </c>
      <c r="D207" s="2" t="s">
        <v>28</v>
      </c>
      <c r="E207" s="2">
        <v>54300.87</v>
      </c>
      <c r="F207" s="2">
        <v>7875</v>
      </c>
      <c r="G207" s="2">
        <v>0.107</v>
      </c>
      <c r="H207" s="2">
        <v>19</v>
      </c>
      <c r="I207" s="2">
        <v>94.1</v>
      </c>
      <c r="J207" s="2">
        <v>4.01</v>
      </c>
      <c r="K207" s="2">
        <v>0</v>
      </c>
      <c r="L207" s="2">
        <v>3.9</v>
      </c>
      <c r="M207" s="2">
        <v>795464.47</v>
      </c>
      <c r="N207" s="2">
        <v>161150.51999999999</v>
      </c>
    </row>
    <row r="208" spans="1:14">
      <c r="A208" s="2" t="s">
        <v>73</v>
      </c>
      <c r="B208" s="3">
        <v>45717</v>
      </c>
      <c r="C208" s="2" t="s">
        <v>15</v>
      </c>
      <c r="D208" s="2" t="s">
        <v>28</v>
      </c>
      <c r="E208" s="2">
        <v>37983.35</v>
      </c>
      <c r="F208" s="2">
        <v>9283</v>
      </c>
      <c r="G208" s="2">
        <v>0.14899999999999999</v>
      </c>
      <c r="H208" s="2">
        <v>19</v>
      </c>
      <c r="I208" s="2">
        <v>83.2</v>
      </c>
      <c r="J208" s="2">
        <v>4.01</v>
      </c>
      <c r="K208" s="2">
        <v>0</v>
      </c>
      <c r="L208" s="2">
        <v>3.9</v>
      </c>
      <c r="M208" s="2">
        <v>671868.59</v>
      </c>
      <c r="N208" s="2">
        <v>71003.28</v>
      </c>
    </row>
    <row r="209" spans="1:14">
      <c r="A209" s="2" t="s">
        <v>73</v>
      </c>
      <c r="B209" s="3">
        <v>45748</v>
      </c>
      <c r="C209" s="2" t="s">
        <v>15</v>
      </c>
      <c r="D209" s="2" t="s">
        <v>28</v>
      </c>
      <c r="E209" s="2">
        <v>56413.83</v>
      </c>
      <c r="F209" s="2">
        <v>8303</v>
      </c>
      <c r="G209" s="2">
        <v>0.11600000000000001</v>
      </c>
      <c r="H209" s="2">
        <v>18</v>
      </c>
      <c r="I209" s="2">
        <v>93.6</v>
      </c>
      <c r="J209" s="2">
        <v>4.01</v>
      </c>
      <c r="K209" s="2">
        <v>0</v>
      </c>
      <c r="L209" s="2">
        <v>3.9</v>
      </c>
      <c r="M209" s="2">
        <v>675917.63</v>
      </c>
      <c r="N209" s="2">
        <v>112564.75</v>
      </c>
    </row>
    <row r="210" spans="1:14">
      <c r="A210" s="2" t="s">
        <v>74</v>
      </c>
      <c r="B210" s="3">
        <v>45658</v>
      </c>
      <c r="C210" s="2" t="s">
        <v>15</v>
      </c>
      <c r="D210" s="2" t="s">
        <v>18</v>
      </c>
      <c r="E210" s="2">
        <v>63457.19</v>
      </c>
      <c r="F210" s="2">
        <v>10125</v>
      </c>
      <c r="G210" s="2">
        <v>9.7000000000000003E-2</v>
      </c>
      <c r="H210" s="2">
        <v>24</v>
      </c>
      <c r="I210" s="2">
        <v>87</v>
      </c>
      <c r="J210" s="2">
        <v>4.01</v>
      </c>
      <c r="K210" s="2">
        <v>1</v>
      </c>
      <c r="L210" s="2">
        <v>3.9</v>
      </c>
      <c r="M210" s="2">
        <v>810446.53</v>
      </c>
      <c r="N210" s="2">
        <v>200575.34</v>
      </c>
    </row>
    <row r="211" spans="1:14">
      <c r="A211" s="2" t="s">
        <v>74</v>
      </c>
      <c r="B211" s="3">
        <v>45689</v>
      </c>
      <c r="C211" s="2" t="s">
        <v>15</v>
      </c>
      <c r="D211" s="2" t="s">
        <v>18</v>
      </c>
      <c r="E211" s="2">
        <v>62949.7</v>
      </c>
      <c r="F211" s="2">
        <v>9458</v>
      </c>
      <c r="G211" s="2">
        <v>0.17100000000000001</v>
      </c>
      <c r="H211" s="2">
        <v>19</v>
      </c>
      <c r="I211" s="2">
        <v>84.9</v>
      </c>
      <c r="J211" s="2">
        <v>4.01</v>
      </c>
      <c r="K211" s="2">
        <v>0</v>
      </c>
      <c r="L211" s="2">
        <v>3.9</v>
      </c>
      <c r="M211" s="2">
        <v>691288.19</v>
      </c>
      <c r="N211" s="2">
        <v>159074.14000000001</v>
      </c>
    </row>
    <row r="212" spans="1:14">
      <c r="A212" s="2" t="s">
        <v>74</v>
      </c>
      <c r="B212" s="3">
        <v>45717</v>
      </c>
      <c r="C212" s="2" t="s">
        <v>15</v>
      </c>
      <c r="D212" s="2" t="s">
        <v>18</v>
      </c>
      <c r="E212" s="2">
        <v>107970.19</v>
      </c>
      <c r="F212" s="2">
        <v>12870</v>
      </c>
      <c r="G212" s="2">
        <v>2.9000000000000001E-2</v>
      </c>
      <c r="H212" s="2">
        <v>31</v>
      </c>
      <c r="I212" s="2">
        <v>91.7</v>
      </c>
      <c r="J212" s="2">
        <v>4.01</v>
      </c>
      <c r="K212" s="2">
        <v>1</v>
      </c>
      <c r="L212" s="2">
        <v>3.9</v>
      </c>
      <c r="M212" s="2">
        <v>946833.54</v>
      </c>
      <c r="N212" s="2">
        <v>184540.31</v>
      </c>
    </row>
    <row r="213" spans="1:14">
      <c r="A213" s="2" t="s">
        <v>74</v>
      </c>
      <c r="B213" s="3">
        <v>45748</v>
      </c>
      <c r="C213" s="2" t="s">
        <v>15</v>
      </c>
      <c r="D213" s="2" t="s">
        <v>18</v>
      </c>
      <c r="E213" s="2">
        <v>49405.75</v>
      </c>
      <c r="F213" s="2">
        <v>9752</v>
      </c>
      <c r="G213" s="2">
        <v>9.2999999999999999E-2</v>
      </c>
      <c r="H213" s="2">
        <v>21</v>
      </c>
      <c r="I213" s="2">
        <v>87</v>
      </c>
      <c r="J213" s="2">
        <v>4.01</v>
      </c>
      <c r="K213" s="2">
        <v>0</v>
      </c>
      <c r="L213" s="2">
        <v>3.9</v>
      </c>
      <c r="M213" s="2">
        <v>761963.23</v>
      </c>
      <c r="N213" s="2">
        <v>150113.60999999999</v>
      </c>
    </row>
    <row r="214" spans="1:14">
      <c r="A214" s="2" t="s">
        <v>75</v>
      </c>
      <c r="B214" s="3">
        <v>45658</v>
      </c>
      <c r="C214" s="2" t="s">
        <v>27</v>
      </c>
      <c r="D214" s="2" t="s">
        <v>16</v>
      </c>
      <c r="E214" s="2">
        <v>50887.46</v>
      </c>
      <c r="F214" s="2">
        <v>9505</v>
      </c>
      <c r="G214" s="2">
        <v>9.0999999999999998E-2</v>
      </c>
      <c r="H214" s="2">
        <v>25</v>
      </c>
      <c r="I214" s="2">
        <v>89.7</v>
      </c>
      <c r="J214" s="2">
        <v>4.01</v>
      </c>
      <c r="K214" s="2">
        <v>0</v>
      </c>
      <c r="L214" s="2">
        <v>3.9</v>
      </c>
      <c r="M214" s="2">
        <v>812152.6</v>
      </c>
      <c r="N214" s="2">
        <v>138419.43</v>
      </c>
    </row>
    <row r="215" spans="1:14">
      <c r="A215" s="2" t="s">
        <v>75</v>
      </c>
      <c r="B215" s="3">
        <v>45689</v>
      </c>
      <c r="C215" s="2" t="s">
        <v>27</v>
      </c>
      <c r="D215" s="2" t="s">
        <v>16</v>
      </c>
      <c r="E215" s="2">
        <v>41819.449999999997</v>
      </c>
      <c r="F215" s="2">
        <v>9412</v>
      </c>
      <c r="G215" s="2">
        <v>0.15</v>
      </c>
      <c r="H215" s="2">
        <v>22</v>
      </c>
      <c r="I215" s="2">
        <v>91</v>
      </c>
      <c r="J215" s="2">
        <v>4.01</v>
      </c>
      <c r="K215" s="2">
        <v>0</v>
      </c>
      <c r="L215" s="2">
        <v>3.9</v>
      </c>
      <c r="M215" s="2">
        <v>804975.5</v>
      </c>
      <c r="N215" s="2">
        <v>140054.5</v>
      </c>
    </row>
    <row r="216" spans="1:14">
      <c r="A216" s="2" t="s">
        <v>75</v>
      </c>
      <c r="B216" s="3">
        <v>45717</v>
      </c>
      <c r="C216" s="2" t="s">
        <v>27</v>
      </c>
      <c r="D216" s="2" t="s">
        <v>16</v>
      </c>
      <c r="E216" s="2">
        <v>35296.54</v>
      </c>
      <c r="F216" s="2">
        <v>9644</v>
      </c>
      <c r="G216" s="2">
        <v>0</v>
      </c>
      <c r="H216" s="2">
        <v>22</v>
      </c>
      <c r="I216" s="2">
        <v>88</v>
      </c>
      <c r="J216" s="2">
        <v>4.01</v>
      </c>
      <c r="K216" s="2">
        <v>0</v>
      </c>
      <c r="L216" s="2">
        <v>3.9</v>
      </c>
      <c r="M216" s="2">
        <v>752321.72</v>
      </c>
      <c r="N216" s="2">
        <v>137788.51</v>
      </c>
    </row>
    <row r="217" spans="1:14">
      <c r="A217" s="2" t="s">
        <v>75</v>
      </c>
      <c r="B217" s="3">
        <v>45748</v>
      </c>
      <c r="C217" s="2" t="s">
        <v>27</v>
      </c>
      <c r="D217" s="2" t="s">
        <v>16</v>
      </c>
      <c r="E217" s="2">
        <v>47391.09</v>
      </c>
      <c r="F217" s="2">
        <v>11224</v>
      </c>
      <c r="G217" s="2">
        <v>0.14699999999999999</v>
      </c>
      <c r="H217" s="2">
        <v>25</v>
      </c>
      <c r="I217" s="2">
        <v>88.4</v>
      </c>
      <c r="J217" s="2">
        <v>4.01</v>
      </c>
      <c r="K217" s="2">
        <v>0</v>
      </c>
      <c r="L217" s="2">
        <v>3.9</v>
      </c>
      <c r="M217" s="2">
        <v>836908.24</v>
      </c>
      <c r="N217" s="2">
        <v>141090.26</v>
      </c>
    </row>
    <row r="218" spans="1:14">
      <c r="A218" s="2" t="s">
        <v>76</v>
      </c>
      <c r="B218" s="3">
        <v>45658</v>
      </c>
      <c r="C218" s="2" t="s">
        <v>20</v>
      </c>
      <c r="D218" s="2" t="s">
        <v>21</v>
      </c>
      <c r="E218" s="2">
        <v>69180.539999999994</v>
      </c>
      <c r="F218" s="2">
        <v>5394</v>
      </c>
      <c r="G218" s="2">
        <v>0.126</v>
      </c>
      <c r="H218" s="2">
        <v>12</v>
      </c>
      <c r="I218" s="2">
        <v>82.9</v>
      </c>
      <c r="J218" s="2">
        <v>4.01</v>
      </c>
      <c r="K218" s="2">
        <v>0</v>
      </c>
      <c r="L218" s="2">
        <v>3.9</v>
      </c>
      <c r="M218" s="2">
        <v>674289.1</v>
      </c>
      <c r="N218" s="2">
        <v>117773.79</v>
      </c>
    </row>
    <row r="219" spans="1:14">
      <c r="A219" s="2" t="s">
        <v>76</v>
      </c>
      <c r="B219" s="3">
        <v>45689</v>
      </c>
      <c r="C219" s="2" t="s">
        <v>20</v>
      </c>
      <c r="D219" s="2" t="s">
        <v>21</v>
      </c>
      <c r="E219" s="2">
        <v>33987.33</v>
      </c>
      <c r="F219" s="2">
        <v>5014</v>
      </c>
      <c r="G219" s="2">
        <v>0.246</v>
      </c>
      <c r="H219" s="2">
        <v>17</v>
      </c>
      <c r="I219" s="2">
        <v>94.3</v>
      </c>
      <c r="J219" s="2">
        <v>4.01</v>
      </c>
      <c r="K219" s="2">
        <v>0</v>
      </c>
      <c r="L219" s="2">
        <v>3.9</v>
      </c>
      <c r="M219" s="2">
        <v>622892.42000000004</v>
      </c>
      <c r="N219" s="2">
        <v>101032.52</v>
      </c>
    </row>
    <row r="220" spans="1:14">
      <c r="A220" s="2" t="s">
        <v>76</v>
      </c>
      <c r="B220" s="3">
        <v>45717</v>
      </c>
      <c r="C220" s="2" t="s">
        <v>20</v>
      </c>
      <c r="D220" s="2" t="s">
        <v>21</v>
      </c>
      <c r="E220" s="2">
        <v>58785.33</v>
      </c>
      <c r="F220" s="2">
        <v>4467</v>
      </c>
      <c r="G220" s="2">
        <v>0.22900000000000001</v>
      </c>
      <c r="H220" s="2">
        <v>14</v>
      </c>
      <c r="I220" s="2">
        <v>90.7</v>
      </c>
      <c r="J220" s="2">
        <v>4.01</v>
      </c>
      <c r="K220" s="2">
        <v>0</v>
      </c>
      <c r="L220" s="2">
        <v>3.9</v>
      </c>
      <c r="M220" s="2">
        <v>673348.56</v>
      </c>
      <c r="N220" s="2">
        <v>69464.59</v>
      </c>
    </row>
    <row r="221" spans="1:14">
      <c r="A221" s="2" t="s">
        <v>76</v>
      </c>
      <c r="B221" s="3">
        <v>45748</v>
      </c>
      <c r="C221" s="2" t="s">
        <v>20</v>
      </c>
      <c r="D221" s="2" t="s">
        <v>21</v>
      </c>
      <c r="E221" s="2">
        <v>16451.849999999999</v>
      </c>
      <c r="F221" s="2">
        <v>4678</v>
      </c>
      <c r="G221" s="2">
        <v>0.13300000000000001</v>
      </c>
      <c r="H221" s="2">
        <v>11</v>
      </c>
      <c r="I221" s="2">
        <v>95.9</v>
      </c>
      <c r="J221" s="2">
        <v>4.01</v>
      </c>
      <c r="K221" s="2">
        <v>0</v>
      </c>
      <c r="L221" s="2">
        <v>3.9</v>
      </c>
      <c r="M221" s="2">
        <v>606278.30000000005</v>
      </c>
      <c r="N221" s="2">
        <v>102213.26</v>
      </c>
    </row>
    <row r="222" spans="1:14">
      <c r="A222" s="2" t="s">
        <v>77</v>
      </c>
      <c r="B222" s="3">
        <v>45658</v>
      </c>
      <c r="C222" s="2" t="s">
        <v>15</v>
      </c>
      <c r="D222" s="2" t="s">
        <v>18</v>
      </c>
      <c r="E222" s="2">
        <v>53367.73</v>
      </c>
      <c r="F222" s="2">
        <v>7291</v>
      </c>
      <c r="G222" s="2">
        <v>0.14599999999999999</v>
      </c>
      <c r="H222" s="2">
        <v>18</v>
      </c>
      <c r="I222" s="2">
        <v>90.6</v>
      </c>
      <c r="J222" s="2">
        <v>4.01</v>
      </c>
      <c r="K222" s="2">
        <v>1</v>
      </c>
      <c r="L222" s="2">
        <v>3.9</v>
      </c>
      <c r="M222" s="2">
        <v>712219.81</v>
      </c>
      <c r="N222" s="2">
        <v>85906.54</v>
      </c>
    </row>
    <row r="223" spans="1:14">
      <c r="A223" s="2" t="s">
        <v>77</v>
      </c>
      <c r="B223" s="3">
        <v>45689</v>
      </c>
      <c r="C223" s="2" t="s">
        <v>15</v>
      </c>
      <c r="D223" s="2" t="s">
        <v>18</v>
      </c>
      <c r="E223" s="2">
        <v>27194.639999999999</v>
      </c>
      <c r="F223" s="2">
        <v>7404</v>
      </c>
      <c r="G223" s="2">
        <v>8.7999999999999995E-2</v>
      </c>
      <c r="H223" s="2">
        <v>18</v>
      </c>
      <c r="I223" s="2">
        <v>90.2</v>
      </c>
      <c r="J223" s="2">
        <v>4.01</v>
      </c>
      <c r="K223" s="2">
        <v>0</v>
      </c>
      <c r="L223" s="2">
        <v>3.9</v>
      </c>
      <c r="M223" s="2">
        <v>672670.54</v>
      </c>
      <c r="N223" s="2">
        <v>132684.18</v>
      </c>
    </row>
    <row r="224" spans="1:14">
      <c r="A224" s="2" t="s">
        <v>77</v>
      </c>
      <c r="B224" s="3">
        <v>45717</v>
      </c>
      <c r="C224" s="2" t="s">
        <v>15</v>
      </c>
      <c r="D224" s="2" t="s">
        <v>18</v>
      </c>
      <c r="E224" s="2">
        <v>66962.740000000005</v>
      </c>
      <c r="F224" s="2">
        <v>7880</v>
      </c>
      <c r="G224" s="2">
        <v>0.11600000000000001</v>
      </c>
      <c r="H224" s="2">
        <v>19</v>
      </c>
      <c r="I224" s="2">
        <v>90.4</v>
      </c>
      <c r="J224" s="2">
        <v>4.01</v>
      </c>
      <c r="K224" s="2">
        <v>0</v>
      </c>
      <c r="L224" s="2">
        <v>3.9</v>
      </c>
      <c r="M224" s="2">
        <v>732667.92</v>
      </c>
      <c r="N224" s="2">
        <v>128654.46</v>
      </c>
    </row>
    <row r="225" spans="1:14">
      <c r="A225" s="2" t="s">
        <v>77</v>
      </c>
      <c r="B225" s="3">
        <v>45748</v>
      </c>
      <c r="C225" s="2" t="s">
        <v>15</v>
      </c>
      <c r="D225" s="2" t="s">
        <v>18</v>
      </c>
      <c r="E225" s="2">
        <v>73540.990000000005</v>
      </c>
      <c r="F225" s="2">
        <v>8773</v>
      </c>
      <c r="G225" s="2">
        <v>3.5000000000000003E-2</v>
      </c>
      <c r="H225" s="2">
        <v>21</v>
      </c>
      <c r="I225" s="2">
        <v>84.4</v>
      </c>
      <c r="J225" s="2">
        <v>4.01</v>
      </c>
      <c r="K225" s="2">
        <v>0</v>
      </c>
      <c r="L225" s="2">
        <v>3.9</v>
      </c>
      <c r="M225" s="2">
        <v>723531.4</v>
      </c>
      <c r="N225" s="2">
        <v>108794.85</v>
      </c>
    </row>
    <row r="226" spans="1:14">
      <c r="A226" s="2" t="s">
        <v>78</v>
      </c>
      <c r="B226" s="3">
        <v>45658</v>
      </c>
      <c r="C226" s="2" t="s">
        <v>15</v>
      </c>
      <c r="D226" s="2" t="s">
        <v>28</v>
      </c>
      <c r="E226" s="2">
        <v>68212.289999999994</v>
      </c>
      <c r="F226" s="2">
        <v>4713</v>
      </c>
      <c r="G226" s="2">
        <v>0.19800000000000001</v>
      </c>
      <c r="H226" s="2">
        <v>15</v>
      </c>
      <c r="I226" s="2">
        <v>82.6</v>
      </c>
      <c r="J226" s="2">
        <v>4.01</v>
      </c>
      <c r="K226" s="2">
        <v>1</v>
      </c>
      <c r="L226" s="2">
        <v>3.9</v>
      </c>
      <c r="M226" s="2">
        <v>641564.6</v>
      </c>
      <c r="N226" s="2">
        <v>90468.96</v>
      </c>
    </row>
    <row r="227" spans="1:14">
      <c r="A227" s="2" t="s">
        <v>78</v>
      </c>
      <c r="B227" s="3">
        <v>45689</v>
      </c>
      <c r="C227" s="2" t="s">
        <v>15</v>
      </c>
      <c r="D227" s="2" t="s">
        <v>28</v>
      </c>
      <c r="E227" s="2">
        <v>57225.98</v>
      </c>
      <c r="F227" s="2">
        <v>2842</v>
      </c>
      <c r="G227" s="2">
        <v>0.112</v>
      </c>
      <c r="H227" s="2">
        <v>10</v>
      </c>
      <c r="I227" s="2">
        <v>79.5</v>
      </c>
      <c r="J227" s="2">
        <v>4.01</v>
      </c>
      <c r="K227" s="2">
        <v>0</v>
      </c>
      <c r="L227" s="2">
        <v>3.9</v>
      </c>
      <c r="M227" s="2">
        <v>536545.49</v>
      </c>
      <c r="N227" s="2">
        <v>97917.45</v>
      </c>
    </row>
    <row r="228" spans="1:14">
      <c r="A228" s="2" t="s">
        <v>78</v>
      </c>
      <c r="B228" s="3">
        <v>45717</v>
      </c>
      <c r="C228" s="2" t="s">
        <v>15</v>
      </c>
      <c r="D228" s="2" t="s">
        <v>28</v>
      </c>
      <c r="E228" s="2">
        <v>42932.02</v>
      </c>
      <c r="F228" s="2">
        <v>3872</v>
      </c>
      <c r="G228" s="2">
        <v>0.17100000000000001</v>
      </c>
      <c r="H228" s="2">
        <v>12</v>
      </c>
      <c r="I228" s="2">
        <v>83.2</v>
      </c>
      <c r="J228" s="2">
        <v>4.01</v>
      </c>
      <c r="K228" s="2">
        <v>0</v>
      </c>
      <c r="L228" s="2">
        <v>3.9</v>
      </c>
      <c r="M228" s="2">
        <v>527681.56000000006</v>
      </c>
      <c r="N228" s="2">
        <v>63153.05</v>
      </c>
    </row>
    <row r="229" spans="1:14">
      <c r="A229" s="2" t="s">
        <v>78</v>
      </c>
      <c r="B229" s="3">
        <v>45748</v>
      </c>
      <c r="C229" s="2" t="s">
        <v>15</v>
      </c>
      <c r="D229" s="2" t="s">
        <v>28</v>
      </c>
      <c r="E229" s="2">
        <v>39341.449999999997</v>
      </c>
      <c r="F229" s="2">
        <v>1375</v>
      </c>
      <c r="G229" s="2">
        <v>9.2999999999999999E-2</v>
      </c>
      <c r="H229" s="2">
        <v>5</v>
      </c>
      <c r="I229" s="2">
        <v>95</v>
      </c>
      <c r="J229" s="2">
        <v>4.01</v>
      </c>
      <c r="K229" s="2">
        <v>0</v>
      </c>
      <c r="L229" s="2">
        <v>3.9</v>
      </c>
      <c r="M229" s="2">
        <v>529598.93999999994</v>
      </c>
      <c r="N229" s="2">
        <v>84334.33</v>
      </c>
    </row>
    <row r="230" spans="1:14">
      <c r="A230" s="2" t="s">
        <v>79</v>
      </c>
      <c r="B230" s="3">
        <v>45658</v>
      </c>
      <c r="C230" s="2" t="s">
        <v>15</v>
      </c>
      <c r="D230" s="2" t="s">
        <v>18</v>
      </c>
      <c r="E230" s="2">
        <v>37324.230000000003</v>
      </c>
      <c r="F230" s="2">
        <v>5957</v>
      </c>
      <c r="G230" s="2">
        <v>7.0999999999999994E-2</v>
      </c>
      <c r="H230" s="2">
        <v>12</v>
      </c>
      <c r="I230" s="2">
        <v>85.9</v>
      </c>
      <c r="J230" s="2">
        <v>4.01</v>
      </c>
      <c r="K230" s="2">
        <v>0</v>
      </c>
      <c r="L230" s="2">
        <v>3.9</v>
      </c>
      <c r="M230" s="2">
        <v>570963.31000000006</v>
      </c>
      <c r="N230" s="2">
        <v>87342.25</v>
      </c>
    </row>
    <row r="231" spans="1:14">
      <c r="A231" s="2" t="s">
        <v>79</v>
      </c>
      <c r="B231" s="3">
        <v>45689</v>
      </c>
      <c r="C231" s="2" t="s">
        <v>15</v>
      </c>
      <c r="D231" s="2" t="s">
        <v>18</v>
      </c>
      <c r="E231" s="2">
        <v>113736</v>
      </c>
      <c r="F231" s="2">
        <v>8961</v>
      </c>
      <c r="G231" s="2">
        <v>0.20200000000000001</v>
      </c>
      <c r="H231" s="2">
        <v>24</v>
      </c>
      <c r="I231" s="2">
        <v>86.2</v>
      </c>
      <c r="J231" s="2">
        <v>4.01</v>
      </c>
      <c r="K231" s="2">
        <v>0</v>
      </c>
      <c r="L231" s="2">
        <v>3.9</v>
      </c>
      <c r="M231" s="2">
        <v>870937.4</v>
      </c>
      <c r="N231" s="2">
        <v>175282.74</v>
      </c>
    </row>
    <row r="232" spans="1:14">
      <c r="A232" s="2" t="s">
        <v>79</v>
      </c>
      <c r="B232" s="3">
        <v>45717</v>
      </c>
      <c r="C232" s="2" t="s">
        <v>15</v>
      </c>
      <c r="D232" s="2" t="s">
        <v>18</v>
      </c>
      <c r="E232" s="2">
        <v>33173.949999999997</v>
      </c>
      <c r="F232" s="2">
        <v>6545</v>
      </c>
      <c r="G232" s="2">
        <v>0.16900000000000001</v>
      </c>
      <c r="H232" s="2">
        <v>15</v>
      </c>
      <c r="I232" s="2">
        <v>84.4</v>
      </c>
      <c r="J232" s="2">
        <v>4.01</v>
      </c>
      <c r="K232" s="2">
        <v>0</v>
      </c>
      <c r="L232" s="2">
        <v>3.9</v>
      </c>
      <c r="M232" s="2">
        <v>596969.27</v>
      </c>
      <c r="N232" s="2">
        <v>105669.51</v>
      </c>
    </row>
    <row r="233" spans="1:14">
      <c r="A233" s="2" t="s">
        <v>79</v>
      </c>
      <c r="B233" s="3">
        <v>45748</v>
      </c>
      <c r="C233" s="2" t="s">
        <v>15</v>
      </c>
      <c r="D233" s="2" t="s">
        <v>18</v>
      </c>
      <c r="E233" s="2">
        <v>25818.080000000002</v>
      </c>
      <c r="F233" s="2">
        <v>5457</v>
      </c>
      <c r="G233" s="2">
        <v>0</v>
      </c>
      <c r="H233" s="2">
        <v>11</v>
      </c>
      <c r="I233" s="2">
        <v>95.4</v>
      </c>
      <c r="J233" s="2">
        <v>4.01</v>
      </c>
      <c r="K233" s="2">
        <v>0</v>
      </c>
      <c r="L233" s="2">
        <v>3.9</v>
      </c>
      <c r="M233" s="2">
        <v>647512.85</v>
      </c>
      <c r="N233" s="2">
        <v>153835.57</v>
      </c>
    </row>
    <row r="234" spans="1:14">
      <c r="A234" s="2" t="s">
        <v>80</v>
      </c>
      <c r="B234" s="3">
        <v>45658</v>
      </c>
      <c r="C234" s="2" t="s">
        <v>27</v>
      </c>
      <c r="D234" s="2" t="s">
        <v>16</v>
      </c>
      <c r="E234" s="2">
        <v>47241.919999999998</v>
      </c>
      <c r="F234" s="2">
        <v>4264</v>
      </c>
      <c r="G234" s="2">
        <v>6.9000000000000006E-2</v>
      </c>
      <c r="H234" s="2">
        <v>13</v>
      </c>
      <c r="I234" s="2">
        <v>95.3</v>
      </c>
      <c r="J234" s="2">
        <v>4.01</v>
      </c>
      <c r="K234" s="2">
        <v>0</v>
      </c>
      <c r="L234" s="2">
        <v>3.9</v>
      </c>
      <c r="M234" s="2">
        <v>658072.14</v>
      </c>
      <c r="N234" s="2">
        <v>110595.89</v>
      </c>
    </row>
    <row r="235" spans="1:14">
      <c r="A235" s="2" t="s">
        <v>80</v>
      </c>
      <c r="B235" s="3">
        <v>45689</v>
      </c>
      <c r="C235" s="2" t="s">
        <v>27</v>
      </c>
      <c r="D235" s="2" t="s">
        <v>16</v>
      </c>
      <c r="E235" s="2">
        <v>61650.79</v>
      </c>
      <c r="F235" s="2">
        <v>5321</v>
      </c>
      <c r="G235" s="2">
        <v>0.126</v>
      </c>
      <c r="H235" s="2">
        <v>17</v>
      </c>
      <c r="I235" s="2">
        <v>89.2</v>
      </c>
      <c r="J235" s="2">
        <v>4.01</v>
      </c>
      <c r="K235" s="2">
        <v>0</v>
      </c>
      <c r="L235" s="2">
        <v>3.9</v>
      </c>
      <c r="M235" s="2">
        <v>723305.11</v>
      </c>
      <c r="N235" s="2">
        <v>128468.7</v>
      </c>
    </row>
    <row r="236" spans="1:14">
      <c r="A236" s="2" t="s">
        <v>80</v>
      </c>
      <c r="B236" s="3">
        <v>45717</v>
      </c>
      <c r="C236" s="2" t="s">
        <v>27</v>
      </c>
      <c r="D236" s="2" t="s">
        <v>16</v>
      </c>
      <c r="E236" s="2">
        <v>62582.71</v>
      </c>
      <c r="F236" s="2">
        <v>5479</v>
      </c>
      <c r="G236" s="2">
        <v>4.8000000000000001E-2</v>
      </c>
      <c r="H236" s="2">
        <v>16</v>
      </c>
      <c r="I236" s="2">
        <v>81.2</v>
      </c>
      <c r="J236" s="2">
        <v>4.01</v>
      </c>
      <c r="K236" s="2">
        <v>0</v>
      </c>
      <c r="L236" s="2">
        <v>3.9</v>
      </c>
      <c r="M236" s="2">
        <v>640666.53</v>
      </c>
      <c r="N236" s="2">
        <v>134919.16</v>
      </c>
    </row>
    <row r="237" spans="1:14">
      <c r="A237" s="2" t="s">
        <v>80</v>
      </c>
      <c r="B237" s="3">
        <v>45748</v>
      </c>
      <c r="C237" s="2" t="s">
        <v>27</v>
      </c>
      <c r="D237" s="2" t="s">
        <v>16</v>
      </c>
      <c r="E237" s="2">
        <v>47944.14</v>
      </c>
      <c r="F237" s="2">
        <v>6169</v>
      </c>
      <c r="G237" s="2">
        <v>0.11899999999999999</v>
      </c>
      <c r="H237" s="2">
        <v>17</v>
      </c>
      <c r="I237" s="2">
        <v>92.2</v>
      </c>
      <c r="J237" s="2">
        <v>4.01</v>
      </c>
      <c r="K237" s="2">
        <v>0</v>
      </c>
      <c r="L237" s="2">
        <v>3.9</v>
      </c>
      <c r="M237" s="2">
        <v>670629.48</v>
      </c>
      <c r="N237" s="2">
        <v>100140.8</v>
      </c>
    </row>
    <row r="238" spans="1:14">
      <c r="A238" s="2" t="s">
        <v>81</v>
      </c>
      <c r="B238" s="3">
        <v>45658</v>
      </c>
      <c r="C238" s="2" t="s">
        <v>27</v>
      </c>
      <c r="D238" s="2" t="s">
        <v>28</v>
      </c>
      <c r="E238" s="2">
        <v>46495.4</v>
      </c>
      <c r="F238" s="2">
        <v>9908</v>
      </c>
      <c r="G238" s="2">
        <v>0.121</v>
      </c>
      <c r="H238" s="2">
        <v>22</v>
      </c>
      <c r="I238" s="2">
        <v>89.4</v>
      </c>
      <c r="J238" s="2">
        <v>4.01</v>
      </c>
      <c r="K238" s="2">
        <v>0</v>
      </c>
      <c r="L238" s="2">
        <v>3.9</v>
      </c>
      <c r="M238" s="2">
        <v>721079.35</v>
      </c>
      <c r="N238" s="2">
        <v>115295.05</v>
      </c>
    </row>
    <row r="239" spans="1:14">
      <c r="A239" s="2" t="s">
        <v>81</v>
      </c>
      <c r="B239" s="3">
        <v>45689</v>
      </c>
      <c r="C239" s="2" t="s">
        <v>27</v>
      </c>
      <c r="D239" s="2" t="s">
        <v>28</v>
      </c>
      <c r="E239" s="2">
        <v>72961.95</v>
      </c>
      <c r="F239" s="2">
        <v>9996</v>
      </c>
      <c r="G239" s="2">
        <v>0.106</v>
      </c>
      <c r="H239" s="2">
        <v>22</v>
      </c>
      <c r="I239" s="2">
        <v>89.1</v>
      </c>
      <c r="J239" s="2">
        <v>4.01</v>
      </c>
      <c r="K239" s="2">
        <v>0</v>
      </c>
      <c r="L239" s="2">
        <v>3.9</v>
      </c>
      <c r="M239" s="2">
        <v>810355.02</v>
      </c>
      <c r="N239" s="2">
        <v>131510</v>
      </c>
    </row>
    <row r="240" spans="1:14">
      <c r="A240" s="2" t="s">
        <v>81</v>
      </c>
      <c r="B240" s="3">
        <v>45717</v>
      </c>
      <c r="C240" s="2" t="s">
        <v>27</v>
      </c>
      <c r="D240" s="2" t="s">
        <v>28</v>
      </c>
      <c r="E240" s="2">
        <v>59060.05</v>
      </c>
      <c r="F240" s="2">
        <v>9702</v>
      </c>
      <c r="G240" s="2">
        <v>0.20100000000000001</v>
      </c>
      <c r="H240" s="2">
        <v>23</v>
      </c>
      <c r="I240" s="2">
        <v>80.900000000000006</v>
      </c>
      <c r="J240" s="2">
        <v>4.01</v>
      </c>
      <c r="K240" s="2">
        <v>0</v>
      </c>
      <c r="L240" s="2">
        <v>3.9</v>
      </c>
      <c r="M240" s="2">
        <v>761919.25</v>
      </c>
      <c r="N240" s="2">
        <v>111893.06</v>
      </c>
    </row>
    <row r="241" spans="1:14">
      <c r="A241" s="2" t="s">
        <v>81</v>
      </c>
      <c r="B241" s="3">
        <v>45748</v>
      </c>
      <c r="C241" s="2" t="s">
        <v>27</v>
      </c>
      <c r="D241" s="2" t="s">
        <v>28</v>
      </c>
      <c r="E241" s="2">
        <v>26248.1</v>
      </c>
      <c r="F241" s="2">
        <v>9314</v>
      </c>
      <c r="G241" s="2">
        <v>0.186</v>
      </c>
      <c r="H241" s="2">
        <v>21</v>
      </c>
      <c r="I241" s="2">
        <v>83.7</v>
      </c>
      <c r="J241" s="2">
        <v>4.01</v>
      </c>
      <c r="K241" s="2">
        <v>0</v>
      </c>
      <c r="L241" s="2">
        <v>3.9</v>
      </c>
      <c r="M241" s="2">
        <v>737070.18</v>
      </c>
      <c r="N241" s="2">
        <v>117593.97</v>
      </c>
    </row>
    <row r="242" spans="1:14">
      <c r="A242" s="2" t="s">
        <v>82</v>
      </c>
      <c r="B242" s="3">
        <v>45658</v>
      </c>
      <c r="C242" s="2" t="s">
        <v>24</v>
      </c>
      <c r="D242" s="2" t="s">
        <v>21</v>
      </c>
      <c r="E242" s="2">
        <v>69900.12</v>
      </c>
      <c r="F242" s="2">
        <v>8055</v>
      </c>
      <c r="G242" s="2">
        <v>0.28100000000000003</v>
      </c>
      <c r="H242" s="2">
        <v>22</v>
      </c>
      <c r="I242" s="2">
        <v>85.6</v>
      </c>
      <c r="J242" s="2">
        <v>4.01</v>
      </c>
      <c r="K242" s="2">
        <v>1</v>
      </c>
      <c r="L242" s="2">
        <v>3.9</v>
      </c>
      <c r="M242" s="2">
        <v>776992.93</v>
      </c>
      <c r="N242" s="2">
        <v>101598.32</v>
      </c>
    </row>
    <row r="243" spans="1:14">
      <c r="A243" s="2" t="s">
        <v>82</v>
      </c>
      <c r="B243" s="3">
        <v>45689</v>
      </c>
      <c r="C243" s="2" t="s">
        <v>24</v>
      </c>
      <c r="D243" s="2" t="s">
        <v>21</v>
      </c>
      <c r="E243" s="2">
        <v>51781.599999999999</v>
      </c>
      <c r="F243" s="2">
        <v>5648</v>
      </c>
      <c r="G243" s="2">
        <v>5.8999999999999997E-2</v>
      </c>
      <c r="H243" s="2">
        <v>13</v>
      </c>
      <c r="I243" s="2">
        <v>85.5</v>
      </c>
      <c r="J243" s="2">
        <v>4.01</v>
      </c>
      <c r="K243" s="2">
        <v>0</v>
      </c>
      <c r="L243" s="2">
        <v>3.9</v>
      </c>
      <c r="M243" s="2">
        <v>676337.41</v>
      </c>
      <c r="N243" s="2">
        <v>104355.77</v>
      </c>
    </row>
    <row r="244" spans="1:14">
      <c r="A244" s="2" t="s">
        <v>82</v>
      </c>
      <c r="B244" s="3">
        <v>45717</v>
      </c>
      <c r="C244" s="2" t="s">
        <v>24</v>
      </c>
      <c r="D244" s="2" t="s">
        <v>21</v>
      </c>
      <c r="E244" s="2">
        <v>70799.64</v>
      </c>
      <c r="F244" s="2">
        <v>10076</v>
      </c>
      <c r="G244" s="2">
        <v>0.152</v>
      </c>
      <c r="H244" s="2">
        <v>24</v>
      </c>
      <c r="I244" s="2">
        <v>84.8</v>
      </c>
      <c r="J244" s="2">
        <v>4.01</v>
      </c>
      <c r="K244" s="2">
        <v>0</v>
      </c>
      <c r="L244" s="2">
        <v>3.9</v>
      </c>
      <c r="M244" s="2">
        <v>828219.67</v>
      </c>
      <c r="N244" s="2">
        <v>179806.87</v>
      </c>
    </row>
    <row r="245" spans="1:14">
      <c r="A245" s="2" t="s">
        <v>82</v>
      </c>
      <c r="B245" s="3">
        <v>45748</v>
      </c>
      <c r="C245" s="2" t="s">
        <v>24</v>
      </c>
      <c r="D245" s="2" t="s">
        <v>21</v>
      </c>
      <c r="E245" s="2">
        <v>53546.34</v>
      </c>
      <c r="F245" s="2">
        <v>8004</v>
      </c>
      <c r="G245" s="2">
        <v>0</v>
      </c>
      <c r="H245" s="2">
        <v>21</v>
      </c>
      <c r="I245" s="2">
        <v>95.2</v>
      </c>
      <c r="J245" s="2">
        <v>4.01</v>
      </c>
      <c r="K245" s="2">
        <v>0</v>
      </c>
      <c r="L245" s="2">
        <v>3.9</v>
      </c>
      <c r="M245" s="2">
        <v>763159.92</v>
      </c>
      <c r="N245" s="2">
        <v>177104.87</v>
      </c>
    </row>
    <row r="246" spans="1:14">
      <c r="A246" s="2" t="s">
        <v>83</v>
      </c>
      <c r="B246" s="3">
        <v>45658</v>
      </c>
      <c r="C246" s="2" t="s">
        <v>15</v>
      </c>
      <c r="D246" s="2" t="s">
        <v>18</v>
      </c>
      <c r="E246" s="2">
        <v>76942.2</v>
      </c>
      <c r="F246" s="2">
        <v>8934</v>
      </c>
      <c r="G246" s="2">
        <v>8.4000000000000005E-2</v>
      </c>
      <c r="H246" s="2">
        <v>20</v>
      </c>
      <c r="I246" s="2">
        <v>91</v>
      </c>
      <c r="J246" s="2">
        <v>4.01</v>
      </c>
      <c r="K246" s="2">
        <v>0</v>
      </c>
      <c r="L246" s="2">
        <v>3.9</v>
      </c>
      <c r="M246" s="2">
        <v>802001.68</v>
      </c>
      <c r="N246" s="2">
        <v>159715.82</v>
      </c>
    </row>
    <row r="247" spans="1:14">
      <c r="A247" s="2" t="s">
        <v>83</v>
      </c>
      <c r="B247" s="3">
        <v>45689</v>
      </c>
      <c r="C247" s="2" t="s">
        <v>15</v>
      </c>
      <c r="D247" s="2" t="s">
        <v>18</v>
      </c>
      <c r="E247" s="2">
        <v>48060.78</v>
      </c>
      <c r="F247" s="2">
        <v>8733</v>
      </c>
      <c r="G247" s="2">
        <v>0</v>
      </c>
      <c r="H247" s="2">
        <v>20</v>
      </c>
      <c r="I247" s="2">
        <v>89.9</v>
      </c>
      <c r="J247" s="2">
        <v>4.01</v>
      </c>
      <c r="K247" s="2">
        <v>0</v>
      </c>
      <c r="L247" s="2">
        <v>3.9</v>
      </c>
      <c r="M247" s="2">
        <v>750471.34</v>
      </c>
      <c r="N247" s="2">
        <v>133788.04</v>
      </c>
    </row>
    <row r="248" spans="1:14">
      <c r="A248" s="2" t="s">
        <v>83</v>
      </c>
      <c r="B248" s="3">
        <v>45717</v>
      </c>
      <c r="C248" s="2" t="s">
        <v>15</v>
      </c>
      <c r="D248" s="2" t="s">
        <v>18</v>
      </c>
      <c r="E248" s="2">
        <v>57390.04</v>
      </c>
      <c r="F248" s="2">
        <v>7374</v>
      </c>
      <c r="G248" s="2">
        <v>0.21</v>
      </c>
      <c r="H248" s="2">
        <v>21</v>
      </c>
      <c r="I248" s="2">
        <v>91.8</v>
      </c>
      <c r="J248" s="2">
        <v>4.01</v>
      </c>
      <c r="K248" s="2">
        <v>0</v>
      </c>
      <c r="L248" s="2">
        <v>3.9</v>
      </c>
      <c r="M248" s="2">
        <v>679230.86</v>
      </c>
      <c r="N248" s="2">
        <v>106927.58</v>
      </c>
    </row>
    <row r="249" spans="1:14">
      <c r="A249" s="2" t="s">
        <v>83</v>
      </c>
      <c r="B249" s="3">
        <v>45748</v>
      </c>
      <c r="C249" s="2" t="s">
        <v>15</v>
      </c>
      <c r="D249" s="2" t="s">
        <v>18</v>
      </c>
      <c r="E249" s="2">
        <v>21536.18</v>
      </c>
      <c r="F249" s="2">
        <v>8119</v>
      </c>
      <c r="G249" s="2">
        <v>0.22700000000000001</v>
      </c>
      <c r="H249" s="2">
        <v>20</v>
      </c>
      <c r="I249" s="2">
        <v>90.4</v>
      </c>
      <c r="J249" s="2">
        <v>4.01</v>
      </c>
      <c r="K249" s="2">
        <v>0</v>
      </c>
      <c r="L249" s="2">
        <v>3.9</v>
      </c>
      <c r="M249" s="2">
        <v>679888.74</v>
      </c>
      <c r="N249" s="2">
        <v>83406.89</v>
      </c>
    </row>
    <row r="250" spans="1:14">
      <c r="A250" s="2" t="s">
        <v>84</v>
      </c>
      <c r="B250" s="3">
        <v>45658</v>
      </c>
      <c r="C250" s="2" t="s">
        <v>20</v>
      </c>
      <c r="D250" s="2" t="s">
        <v>18</v>
      </c>
      <c r="E250" s="2">
        <v>40923.67</v>
      </c>
      <c r="F250" s="2">
        <v>3875</v>
      </c>
      <c r="G250" s="2">
        <v>0.15</v>
      </c>
      <c r="H250" s="2">
        <v>10</v>
      </c>
      <c r="I250" s="2">
        <v>96.1</v>
      </c>
      <c r="J250" s="2">
        <v>4.01</v>
      </c>
      <c r="K250" s="2">
        <v>0</v>
      </c>
      <c r="L250" s="2">
        <v>3.9</v>
      </c>
      <c r="M250" s="2">
        <v>606783.67000000004</v>
      </c>
      <c r="N250" s="2">
        <v>74515.87</v>
      </c>
    </row>
    <row r="251" spans="1:14">
      <c r="A251" s="2" t="s">
        <v>84</v>
      </c>
      <c r="B251" s="3">
        <v>45689</v>
      </c>
      <c r="C251" s="2" t="s">
        <v>20</v>
      </c>
      <c r="D251" s="2" t="s">
        <v>18</v>
      </c>
      <c r="E251" s="2">
        <v>72932.55</v>
      </c>
      <c r="F251" s="2">
        <v>5765</v>
      </c>
      <c r="G251" s="2">
        <v>2.5999999999999999E-2</v>
      </c>
      <c r="H251" s="2">
        <v>17</v>
      </c>
      <c r="I251" s="2">
        <v>81.8</v>
      </c>
      <c r="J251" s="2">
        <v>4.01</v>
      </c>
      <c r="K251" s="2">
        <v>0</v>
      </c>
      <c r="L251" s="2">
        <v>3.9</v>
      </c>
      <c r="M251" s="2">
        <v>642751.42000000004</v>
      </c>
      <c r="N251" s="2">
        <v>131942.15</v>
      </c>
    </row>
    <row r="252" spans="1:14">
      <c r="A252" s="2" t="s">
        <v>84</v>
      </c>
      <c r="B252" s="3">
        <v>45717</v>
      </c>
      <c r="C252" s="2" t="s">
        <v>20</v>
      </c>
      <c r="D252" s="2" t="s">
        <v>18</v>
      </c>
      <c r="E252" s="2">
        <v>38361.93</v>
      </c>
      <c r="F252" s="2">
        <v>6322</v>
      </c>
      <c r="G252" s="2">
        <v>0.27300000000000002</v>
      </c>
      <c r="H252" s="2">
        <v>15</v>
      </c>
      <c r="I252" s="2">
        <v>88.4</v>
      </c>
      <c r="J252" s="2">
        <v>4.01</v>
      </c>
      <c r="K252" s="2">
        <v>0</v>
      </c>
      <c r="L252" s="2">
        <v>3.9</v>
      </c>
      <c r="M252" s="2">
        <v>647953.78</v>
      </c>
      <c r="N252" s="2">
        <v>118497.43</v>
      </c>
    </row>
    <row r="253" spans="1:14">
      <c r="A253" s="2" t="s">
        <v>84</v>
      </c>
      <c r="B253" s="3">
        <v>45748</v>
      </c>
      <c r="C253" s="2" t="s">
        <v>20</v>
      </c>
      <c r="D253" s="2" t="s">
        <v>18</v>
      </c>
      <c r="E253" s="2">
        <v>97480.94</v>
      </c>
      <c r="F253" s="2">
        <v>6840</v>
      </c>
      <c r="G253" s="2">
        <v>8.6999999999999994E-2</v>
      </c>
      <c r="H253" s="2">
        <v>14</v>
      </c>
      <c r="I253" s="2">
        <v>79.2</v>
      </c>
      <c r="J253" s="2">
        <v>4.01</v>
      </c>
      <c r="K253" s="2">
        <v>0</v>
      </c>
      <c r="L253" s="2">
        <v>3.9</v>
      </c>
      <c r="M253" s="2">
        <v>729440.45</v>
      </c>
      <c r="N253" s="2">
        <v>87614.29</v>
      </c>
    </row>
    <row r="254" spans="1:14">
      <c r="A254" s="2" t="s">
        <v>85</v>
      </c>
      <c r="B254" s="3">
        <v>45658</v>
      </c>
      <c r="C254" s="2" t="s">
        <v>24</v>
      </c>
      <c r="D254" s="2" t="s">
        <v>21</v>
      </c>
      <c r="E254" s="2">
        <v>81801.8</v>
      </c>
      <c r="F254" s="2">
        <v>6782</v>
      </c>
      <c r="G254" s="2">
        <v>0.05</v>
      </c>
      <c r="H254" s="2">
        <v>16</v>
      </c>
      <c r="I254" s="2">
        <v>99</v>
      </c>
      <c r="J254" s="2">
        <v>4.01</v>
      </c>
      <c r="K254" s="2">
        <v>0</v>
      </c>
      <c r="L254" s="2">
        <v>3.9</v>
      </c>
      <c r="M254" s="2">
        <v>764949</v>
      </c>
      <c r="N254" s="2">
        <v>148322.43</v>
      </c>
    </row>
    <row r="255" spans="1:14">
      <c r="A255" s="2" t="s">
        <v>85</v>
      </c>
      <c r="B255" s="3">
        <v>45689</v>
      </c>
      <c r="C255" s="2" t="s">
        <v>24</v>
      </c>
      <c r="D255" s="2" t="s">
        <v>21</v>
      </c>
      <c r="E255" s="2">
        <v>63582.11</v>
      </c>
      <c r="F255" s="2">
        <v>6856</v>
      </c>
      <c r="G255" s="2">
        <v>7.3999999999999996E-2</v>
      </c>
      <c r="H255" s="2">
        <v>17</v>
      </c>
      <c r="I255" s="2">
        <v>89.5</v>
      </c>
      <c r="J255" s="2">
        <v>4.01</v>
      </c>
      <c r="K255" s="2">
        <v>0</v>
      </c>
      <c r="L255" s="2">
        <v>3.9</v>
      </c>
      <c r="M255" s="2">
        <v>799046.94</v>
      </c>
      <c r="N255" s="2">
        <v>144553.64000000001</v>
      </c>
    </row>
    <row r="256" spans="1:14">
      <c r="A256" s="2" t="s">
        <v>85</v>
      </c>
      <c r="B256" s="3">
        <v>45717</v>
      </c>
      <c r="C256" s="2" t="s">
        <v>24</v>
      </c>
      <c r="D256" s="2" t="s">
        <v>21</v>
      </c>
      <c r="E256" s="2">
        <v>75412.740000000005</v>
      </c>
      <c r="F256" s="2">
        <v>5641</v>
      </c>
      <c r="G256" s="2">
        <v>5.8999999999999997E-2</v>
      </c>
      <c r="H256" s="2">
        <v>13</v>
      </c>
      <c r="I256" s="2">
        <v>87.9</v>
      </c>
      <c r="J256" s="2">
        <v>4.01</v>
      </c>
      <c r="K256" s="2">
        <v>0</v>
      </c>
      <c r="L256" s="2">
        <v>3.9</v>
      </c>
      <c r="M256" s="2">
        <v>720079.54</v>
      </c>
      <c r="N256" s="2">
        <v>119499.47</v>
      </c>
    </row>
    <row r="257" spans="1:14">
      <c r="A257" s="2" t="s">
        <v>85</v>
      </c>
      <c r="B257" s="3">
        <v>45748</v>
      </c>
      <c r="C257" s="2" t="s">
        <v>24</v>
      </c>
      <c r="D257" s="2" t="s">
        <v>21</v>
      </c>
      <c r="E257" s="2">
        <v>36290.080000000002</v>
      </c>
      <c r="F257" s="2">
        <v>5787</v>
      </c>
      <c r="G257" s="2">
        <v>0</v>
      </c>
      <c r="H257" s="2">
        <v>17</v>
      </c>
      <c r="I257" s="2">
        <v>88.3</v>
      </c>
      <c r="J257" s="2">
        <v>4.01</v>
      </c>
      <c r="K257" s="2">
        <v>0</v>
      </c>
      <c r="L257" s="2">
        <v>3.9</v>
      </c>
      <c r="M257" s="2">
        <v>612390.14</v>
      </c>
      <c r="N257" s="2">
        <v>108985.74</v>
      </c>
    </row>
    <row r="258" spans="1:14">
      <c r="A258" s="2" t="s">
        <v>86</v>
      </c>
      <c r="B258" s="3">
        <v>45658</v>
      </c>
      <c r="C258" s="2" t="s">
        <v>24</v>
      </c>
      <c r="D258" s="2" t="s">
        <v>28</v>
      </c>
      <c r="E258" s="2">
        <v>65272.58</v>
      </c>
      <c r="F258" s="2">
        <v>8165</v>
      </c>
      <c r="G258" s="2">
        <v>5.0999999999999997E-2</v>
      </c>
      <c r="H258" s="2">
        <v>19</v>
      </c>
      <c r="I258" s="2">
        <v>87.8</v>
      </c>
      <c r="J258" s="2">
        <v>4.01</v>
      </c>
      <c r="K258" s="2">
        <v>1</v>
      </c>
      <c r="L258" s="2">
        <v>3.9</v>
      </c>
      <c r="M258" s="2">
        <v>840108.12</v>
      </c>
      <c r="N258" s="2">
        <v>126587.01</v>
      </c>
    </row>
    <row r="259" spans="1:14">
      <c r="A259" s="2" t="s">
        <v>86</v>
      </c>
      <c r="B259" s="3">
        <v>45689</v>
      </c>
      <c r="C259" s="2" t="s">
        <v>24</v>
      </c>
      <c r="D259" s="2" t="s">
        <v>28</v>
      </c>
      <c r="E259" s="2">
        <v>28670.43</v>
      </c>
      <c r="F259" s="2">
        <v>7574</v>
      </c>
      <c r="G259" s="2">
        <v>0.114</v>
      </c>
      <c r="H259" s="2">
        <v>19</v>
      </c>
      <c r="I259" s="2">
        <v>82.7</v>
      </c>
      <c r="J259" s="2">
        <v>4.01</v>
      </c>
      <c r="K259" s="2">
        <v>0</v>
      </c>
      <c r="L259" s="2">
        <v>3.9</v>
      </c>
      <c r="M259" s="2">
        <v>697888.09</v>
      </c>
      <c r="N259" s="2">
        <v>116249.87</v>
      </c>
    </row>
    <row r="260" spans="1:14">
      <c r="A260" s="2" t="s">
        <v>86</v>
      </c>
      <c r="B260" s="3">
        <v>45717</v>
      </c>
      <c r="C260" s="2" t="s">
        <v>24</v>
      </c>
      <c r="D260" s="2" t="s">
        <v>28</v>
      </c>
      <c r="E260" s="2">
        <v>44189.34</v>
      </c>
      <c r="F260" s="2">
        <v>8634</v>
      </c>
      <c r="G260" s="2">
        <v>0.14299999999999999</v>
      </c>
      <c r="H260" s="2">
        <v>19</v>
      </c>
      <c r="I260" s="2">
        <v>87.5</v>
      </c>
      <c r="J260" s="2">
        <v>4.01</v>
      </c>
      <c r="K260" s="2">
        <v>0</v>
      </c>
      <c r="L260" s="2">
        <v>3.9</v>
      </c>
      <c r="M260" s="2">
        <v>746115.59</v>
      </c>
      <c r="N260" s="2">
        <v>94662.96</v>
      </c>
    </row>
    <row r="261" spans="1:14">
      <c r="A261" s="2" t="s">
        <v>86</v>
      </c>
      <c r="B261" s="3">
        <v>45748</v>
      </c>
      <c r="C261" s="2" t="s">
        <v>24</v>
      </c>
      <c r="D261" s="2" t="s">
        <v>28</v>
      </c>
      <c r="E261" s="2">
        <v>38397.82</v>
      </c>
      <c r="F261" s="2">
        <v>7836</v>
      </c>
      <c r="G261" s="2">
        <v>7.0000000000000001E-3</v>
      </c>
      <c r="H261" s="2">
        <v>21</v>
      </c>
      <c r="I261" s="2">
        <v>92.2</v>
      </c>
      <c r="J261" s="2">
        <v>4.01</v>
      </c>
      <c r="K261" s="2">
        <v>0</v>
      </c>
      <c r="L261" s="2">
        <v>3.9</v>
      </c>
      <c r="M261" s="2">
        <v>776110.32</v>
      </c>
      <c r="N261" s="2">
        <v>139676.21</v>
      </c>
    </row>
    <row r="262" spans="1:14">
      <c r="A262" s="2" t="s">
        <v>87</v>
      </c>
      <c r="B262" s="3">
        <v>45658</v>
      </c>
      <c r="C262" s="2" t="s">
        <v>27</v>
      </c>
      <c r="D262" s="2" t="s">
        <v>18</v>
      </c>
      <c r="E262" s="2">
        <v>14519.37</v>
      </c>
      <c r="F262" s="2">
        <v>3047</v>
      </c>
      <c r="G262" s="2">
        <v>0.13500000000000001</v>
      </c>
      <c r="H262" s="2">
        <v>10</v>
      </c>
      <c r="I262" s="2">
        <v>90.3</v>
      </c>
      <c r="J262" s="2">
        <v>4.01</v>
      </c>
      <c r="K262" s="2">
        <v>0</v>
      </c>
      <c r="L262" s="2">
        <v>3.9</v>
      </c>
      <c r="M262" s="2">
        <v>528852.62</v>
      </c>
      <c r="N262" s="2">
        <v>68426.210000000006</v>
      </c>
    </row>
    <row r="263" spans="1:14">
      <c r="A263" s="2" t="s">
        <v>87</v>
      </c>
      <c r="B263" s="3">
        <v>45689</v>
      </c>
      <c r="C263" s="2" t="s">
        <v>27</v>
      </c>
      <c r="D263" s="2" t="s">
        <v>18</v>
      </c>
      <c r="E263" s="2">
        <v>43288.2</v>
      </c>
      <c r="F263" s="2">
        <v>4783</v>
      </c>
      <c r="G263" s="2">
        <v>0.16900000000000001</v>
      </c>
      <c r="H263" s="2">
        <v>13</v>
      </c>
      <c r="I263" s="2">
        <v>87.3</v>
      </c>
      <c r="J263" s="2">
        <v>4.01</v>
      </c>
      <c r="K263" s="2">
        <v>0</v>
      </c>
      <c r="L263" s="2">
        <v>3.9</v>
      </c>
      <c r="M263" s="2">
        <v>605751.32999999996</v>
      </c>
      <c r="N263" s="2">
        <v>60685.53</v>
      </c>
    </row>
    <row r="264" spans="1:14">
      <c r="A264" s="2" t="s">
        <v>87</v>
      </c>
      <c r="B264" s="3">
        <v>45717</v>
      </c>
      <c r="C264" s="2" t="s">
        <v>27</v>
      </c>
      <c r="D264" s="2" t="s">
        <v>18</v>
      </c>
      <c r="E264" s="2">
        <v>51450.55</v>
      </c>
      <c r="F264" s="2">
        <v>4902</v>
      </c>
      <c r="G264" s="2">
        <v>8.5999999999999993E-2</v>
      </c>
      <c r="H264" s="2">
        <v>11</v>
      </c>
      <c r="I264" s="2">
        <v>83.7</v>
      </c>
      <c r="J264" s="2">
        <v>6.92</v>
      </c>
      <c r="K264" s="2">
        <v>1</v>
      </c>
      <c r="L264" s="2">
        <v>3.9</v>
      </c>
      <c r="M264" s="2">
        <v>677640.65</v>
      </c>
      <c r="N264" s="2">
        <v>111610.89</v>
      </c>
    </row>
    <row r="265" spans="1:14">
      <c r="A265" s="2" t="s">
        <v>87</v>
      </c>
      <c r="B265" s="3">
        <v>45748</v>
      </c>
      <c r="C265" s="2" t="s">
        <v>27</v>
      </c>
      <c r="D265" s="2" t="s">
        <v>18</v>
      </c>
      <c r="E265" s="2">
        <v>58688.26</v>
      </c>
      <c r="F265" s="2">
        <v>4022</v>
      </c>
      <c r="G265" s="2">
        <v>0.217</v>
      </c>
      <c r="H265" s="2">
        <v>12</v>
      </c>
      <c r="I265" s="2">
        <v>93.8</v>
      </c>
      <c r="J265" s="2">
        <v>11.78</v>
      </c>
      <c r="K265" s="2">
        <v>0</v>
      </c>
      <c r="L265" s="2">
        <v>3.9</v>
      </c>
      <c r="M265" s="2">
        <v>636613.23</v>
      </c>
      <c r="N265" s="2">
        <v>78908.350000000006</v>
      </c>
    </row>
    <row r="266" spans="1:14">
      <c r="A266" s="2" t="s">
        <v>88</v>
      </c>
      <c r="B266" s="3">
        <v>45658</v>
      </c>
      <c r="C266" s="2" t="s">
        <v>15</v>
      </c>
      <c r="D266" s="2" t="s">
        <v>18</v>
      </c>
      <c r="E266" s="2">
        <v>58981.91</v>
      </c>
      <c r="F266" s="2">
        <v>7324</v>
      </c>
      <c r="G266" s="2">
        <v>9.4E-2</v>
      </c>
      <c r="H266" s="2">
        <v>15</v>
      </c>
      <c r="I266" s="2">
        <v>95.8</v>
      </c>
      <c r="J266" s="2">
        <v>0.5</v>
      </c>
      <c r="K266" s="2">
        <v>0</v>
      </c>
      <c r="L266" s="2">
        <v>3.9</v>
      </c>
      <c r="M266" s="2">
        <v>708985.19</v>
      </c>
      <c r="N266" s="2">
        <v>125368.16</v>
      </c>
    </row>
    <row r="267" spans="1:14">
      <c r="A267" s="2" t="s">
        <v>88</v>
      </c>
      <c r="B267" s="3">
        <v>45689</v>
      </c>
      <c r="C267" s="2" t="s">
        <v>15</v>
      </c>
      <c r="D267" s="2" t="s">
        <v>18</v>
      </c>
      <c r="E267" s="2">
        <v>73454.539999999994</v>
      </c>
      <c r="F267" s="2">
        <v>8129</v>
      </c>
      <c r="G267" s="2">
        <v>0.21099999999999999</v>
      </c>
      <c r="H267" s="2">
        <v>20</v>
      </c>
      <c r="I267" s="2">
        <v>85.2</v>
      </c>
      <c r="J267" s="2">
        <v>0.88</v>
      </c>
      <c r="K267" s="2">
        <v>0</v>
      </c>
      <c r="L267" s="2">
        <v>3.9</v>
      </c>
      <c r="M267" s="2">
        <v>767792.94</v>
      </c>
      <c r="N267" s="2">
        <v>96235.77</v>
      </c>
    </row>
    <row r="268" spans="1:14">
      <c r="A268" s="2" t="s">
        <v>88</v>
      </c>
      <c r="B268" s="3">
        <v>45717</v>
      </c>
      <c r="C268" s="2" t="s">
        <v>15</v>
      </c>
      <c r="D268" s="2" t="s">
        <v>18</v>
      </c>
      <c r="E268" s="2">
        <v>56602.39</v>
      </c>
      <c r="F268" s="2">
        <v>7969</v>
      </c>
      <c r="G268" s="2">
        <v>0.17</v>
      </c>
      <c r="H268" s="2">
        <v>21</v>
      </c>
      <c r="I268" s="2">
        <v>88.3</v>
      </c>
      <c r="J268" s="2">
        <v>2.25</v>
      </c>
      <c r="K268" s="2">
        <v>0</v>
      </c>
      <c r="L268" s="2">
        <v>3.9</v>
      </c>
      <c r="M268" s="2">
        <v>745580.51</v>
      </c>
      <c r="N268" s="2">
        <v>116273.68</v>
      </c>
    </row>
    <row r="269" spans="1:14">
      <c r="A269" s="2" t="s">
        <v>88</v>
      </c>
      <c r="B269" s="3">
        <v>45748</v>
      </c>
      <c r="C269" s="2" t="s">
        <v>15</v>
      </c>
      <c r="D269" s="2" t="s">
        <v>18</v>
      </c>
      <c r="E269" s="2">
        <v>67722.289999999994</v>
      </c>
      <c r="F269" s="2">
        <v>7240</v>
      </c>
      <c r="G269" s="2">
        <v>2.5999999999999999E-2</v>
      </c>
      <c r="H269" s="2">
        <v>15</v>
      </c>
      <c r="I269" s="2">
        <v>92.9</v>
      </c>
      <c r="J269" s="2">
        <v>0.28999999999999998</v>
      </c>
      <c r="K269" s="2">
        <v>0</v>
      </c>
      <c r="L269" s="2">
        <v>3.9</v>
      </c>
      <c r="M269" s="2">
        <v>762328.31</v>
      </c>
      <c r="N269" s="2">
        <v>159158.19</v>
      </c>
    </row>
    <row r="270" spans="1:14">
      <c r="A270" s="2" t="s">
        <v>89</v>
      </c>
      <c r="B270" s="3">
        <v>45658</v>
      </c>
      <c r="C270" s="2" t="s">
        <v>15</v>
      </c>
      <c r="D270" s="2" t="s">
        <v>28</v>
      </c>
      <c r="E270" s="2">
        <v>48752.92</v>
      </c>
      <c r="F270" s="2">
        <v>8052</v>
      </c>
      <c r="G270" s="2">
        <v>0.106</v>
      </c>
      <c r="H270" s="2">
        <v>16</v>
      </c>
      <c r="I270" s="2">
        <v>94.9</v>
      </c>
      <c r="J270" s="2">
        <v>0.65</v>
      </c>
      <c r="K270" s="2">
        <v>0</v>
      </c>
      <c r="L270" s="2">
        <v>3.9</v>
      </c>
      <c r="M270" s="2">
        <v>660633.99</v>
      </c>
      <c r="N270" s="2">
        <v>118768.66</v>
      </c>
    </row>
    <row r="271" spans="1:14">
      <c r="A271" s="2" t="s">
        <v>89</v>
      </c>
      <c r="B271" s="3">
        <v>45689</v>
      </c>
      <c r="C271" s="2" t="s">
        <v>15</v>
      </c>
      <c r="D271" s="2" t="s">
        <v>28</v>
      </c>
      <c r="E271" s="2">
        <v>23914.97</v>
      </c>
      <c r="F271" s="2">
        <v>8018</v>
      </c>
      <c r="G271" s="2">
        <v>0.13900000000000001</v>
      </c>
      <c r="H271" s="2">
        <v>20</v>
      </c>
      <c r="I271" s="2">
        <v>89</v>
      </c>
      <c r="J271" s="2">
        <v>0.2</v>
      </c>
      <c r="K271" s="2">
        <v>0</v>
      </c>
      <c r="L271" s="2">
        <v>3.9</v>
      </c>
      <c r="M271" s="2">
        <v>739374.56</v>
      </c>
      <c r="N271" s="2">
        <v>121032.29</v>
      </c>
    </row>
    <row r="272" spans="1:14">
      <c r="A272" s="2" t="s">
        <v>89</v>
      </c>
      <c r="B272" s="3">
        <v>45717</v>
      </c>
      <c r="C272" s="2" t="s">
        <v>15</v>
      </c>
      <c r="D272" s="2" t="s">
        <v>28</v>
      </c>
      <c r="E272" s="2">
        <v>61995.3</v>
      </c>
      <c r="F272" s="2">
        <v>10192</v>
      </c>
      <c r="G272" s="2">
        <v>0.19800000000000001</v>
      </c>
      <c r="H272" s="2">
        <v>21</v>
      </c>
      <c r="I272" s="2">
        <v>87.6</v>
      </c>
      <c r="J272" s="2">
        <v>3.63</v>
      </c>
      <c r="K272" s="2">
        <v>1</v>
      </c>
      <c r="L272" s="2">
        <v>3.9</v>
      </c>
      <c r="M272" s="2">
        <v>799756.46</v>
      </c>
      <c r="N272" s="2">
        <v>105052.93</v>
      </c>
    </row>
    <row r="273" spans="1:14">
      <c r="A273" s="2" t="s">
        <v>89</v>
      </c>
      <c r="B273" s="3">
        <v>45748</v>
      </c>
      <c r="C273" s="2" t="s">
        <v>15</v>
      </c>
      <c r="D273" s="2" t="s">
        <v>28</v>
      </c>
      <c r="E273" s="2">
        <v>29344.93</v>
      </c>
      <c r="F273" s="2">
        <v>7446</v>
      </c>
      <c r="G273" s="2">
        <v>0.111</v>
      </c>
      <c r="H273" s="2">
        <v>15</v>
      </c>
      <c r="I273" s="2">
        <v>86.2</v>
      </c>
      <c r="J273" s="2">
        <v>0.2</v>
      </c>
      <c r="K273" s="2">
        <v>0</v>
      </c>
      <c r="L273" s="2">
        <v>3.9</v>
      </c>
      <c r="M273" s="2">
        <v>593343</v>
      </c>
      <c r="N273" s="2">
        <v>82832.240000000005</v>
      </c>
    </row>
    <row r="274" spans="1:14">
      <c r="A274" s="2" t="s">
        <v>90</v>
      </c>
      <c r="B274" s="3">
        <v>45658</v>
      </c>
      <c r="C274" s="2" t="s">
        <v>27</v>
      </c>
      <c r="D274" s="2" t="s">
        <v>18</v>
      </c>
      <c r="E274" s="2">
        <v>50532.17</v>
      </c>
      <c r="F274" s="2">
        <v>5689</v>
      </c>
      <c r="G274" s="2">
        <v>5.1999999999999998E-2</v>
      </c>
      <c r="H274" s="2">
        <v>17</v>
      </c>
      <c r="I274" s="2">
        <v>85.6</v>
      </c>
      <c r="J274" s="2">
        <v>6.23</v>
      </c>
      <c r="K274" s="2">
        <v>0</v>
      </c>
      <c r="L274" s="2">
        <v>3.9</v>
      </c>
      <c r="M274" s="2">
        <v>645039.97</v>
      </c>
      <c r="N274" s="2">
        <v>83093.33</v>
      </c>
    </row>
    <row r="275" spans="1:14">
      <c r="A275" s="2" t="s">
        <v>90</v>
      </c>
      <c r="B275" s="3">
        <v>45689</v>
      </c>
      <c r="C275" s="2" t="s">
        <v>27</v>
      </c>
      <c r="D275" s="2" t="s">
        <v>18</v>
      </c>
      <c r="E275" s="2">
        <v>17562.57</v>
      </c>
      <c r="F275" s="2">
        <v>3326</v>
      </c>
      <c r="G275" s="2">
        <v>0.153</v>
      </c>
      <c r="H275" s="2">
        <v>14</v>
      </c>
      <c r="I275" s="2">
        <v>88.1</v>
      </c>
      <c r="J275" s="2">
        <v>1.04</v>
      </c>
      <c r="K275" s="2">
        <v>0</v>
      </c>
      <c r="L275" s="2">
        <v>3.9</v>
      </c>
      <c r="M275" s="2">
        <v>561597.32999999996</v>
      </c>
      <c r="N275" s="2">
        <v>75072.75</v>
      </c>
    </row>
    <row r="276" spans="1:14">
      <c r="A276" s="2" t="s">
        <v>90</v>
      </c>
      <c r="B276" s="3">
        <v>45717</v>
      </c>
      <c r="C276" s="2" t="s">
        <v>27</v>
      </c>
      <c r="D276" s="2" t="s">
        <v>18</v>
      </c>
      <c r="E276" s="2">
        <v>47648.71</v>
      </c>
      <c r="F276" s="2">
        <v>5767</v>
      </c>
      <c r="G276" s="2">
        <v>0.14099999999999999</v>
      </c>
      <c r="H276" s="2">
        <v>17</v>
      </c>
      <c r="I276" s="2">
        <v>89.8</v>
      </c>
      <c r="J276" s="2">
        <v>1.76</v>
      </c>
      <c r="K276" s="2">
        <v>0</v>
      </c>
      <c r="L276" s="2">
        <v>3.9</v>
      </c>
      <c r="M276" s="2">
        <v>635837.74</v>
      </c>
      <c r="N276" s="2">
        <v>114740.64</v>
      </c>
    </row>
    <row r="277" spans="1:14">
      <c r="A277" s="2" t="s">
        <v>90</v>
      </c>
      <c r="B277" s="3">
        <v>45748</v>
      </c>
      <c r="C277" s="2" t="s">
        <v>27</v>
      </c>
      <c r="D277" s="2" t="s">
        <v>18</v>
      </c>
      <c r="E277" s="2">
        <v>38297.58</v>
      </c>
      <c r="F277" s="2">
        <v>5893</v>
      </c>
      <c r="G277" s="2">
        <v>0.247</v>
      </c>
      <c r="H277" s="2">
        <v>18</v>
      </c>
      <c r="I277" s="2">
        <v>77.599999999999994</v>
      </c>
      <c r="J277" s="2">
        <v>2.86</v>
      </c>
      <c r="K277" s="2">
        <v>0</v>
      </c>
      <c r="L277" s="2">
        <v>3.9</v>
      </c>
      <c r="M277" s="2">
        <v>686737.87</v>
      </c>
      <c r="N277" s="2">
        <v>83839.67</v>
      </c>
    </row>
    <row r="278" spans="1:14">
      <c r="A278" s="2" t="s">
        <v>91</v>
      </c>
      <c r="B278" s="3">
        <v>45658</v>
      </c>
      <c r="C278" s="2" t="s">
        <v>24</v>
      </c>
      <c r="D278" s="2" t="s">
        <v>16</v>
      </c>
      <c r="E278" s="2">
        <v>61784.11</v>
      </c>
      <c r="F278" s="2">
        <v>8564</v>
      </c>
      <c r="G278" s="2">
        <v>0.13</v>
      </c>
      <c r="H278" s="2">
        <v>17</v>
      </c>
      <c r="I278" s="2">
        <v>87.4</v>
      </c>
      <c r="J278" s="2">
        <v>18.14</v>
      </c>
      <c r="K278" s="2">
        <v>1</v>
      </c>
      <c r="L278" s="2">
        <v>3.9</v>
      </c>
      <c r="M278" s="2">
        <v>673076.34</v>
      </c>
      <c r="N278" s="2">
        <v>93899.76</v>
      </c>
    </row>
    <row r="279" spans="1:14">
      <c r="A279" s="2" t="s">
        <v>91</v>
      </c>
      <c r="B279" s="3">
        <v>45689</v>
      </c>
      <c r="C279" s="2" t="s">
        <v>24</v>
      </c>
      <c r="D279" s="2" t="s">
        <v>16</v>
      </c>
      <c r="E279" s="2">
        <v>36832.33</v>
      </c>
      <c r="F279" s="2">
        <v>8001</v>
      </c>
      <c r="G279" s="2">
        <v>0</v>
      </c>
      <c r="H279" s="2">
        <v>19</v>
      </c>
      <c r="I279" s="2">
        <v>88.7</v>
      </c>
      <c r="J279" s="2">
        <v>3.39</v>
      </c>
      <c r="K279" s="2">
        <v>0</v>
      </c>
      <c r="L279" s="2">
        <v>3.9</v>
      </c>
      <c r="M279" s="2">
        <v>738548.42</v>
      </c>
      <c r="N279" s="2">
        <v>134282.76999999999</v>
      </c>
    </row>
    <row r="280" spans="1:14">
      <c r="A280" s="2" t="s">
        <v>91</v>
      </c>
      <c r="B280" s="3">
        <v>45717</v>
      </c>
      <c r="C280" s="2" t="s">
        <v>24</v>
      </c>
      <c r="D280" s="2" t="s">
        <v>16</v>
      </c>
      <c r="E280" s="2">
        <v>48609.41</v>
      </c>
      <c r="F280" s="2">
        <v>9324</v>
      </c>
      <c r="G280" s="2">
        <v>0.21299999999999999</v>
      </c>
      <c r="H280" s="2">
        <v>18</v>
      </c>
      <c r="I280" s="2">
        <v>86.5</v>
      </c>
      <c r="J280" s="2">
        <v>1.44</v>
      </c>
      <c r="K280" s="2">
        <v>0</v>
      </c>
      <c r="L280" s="2">
        <v>3.9</v>
      </c>
      <c r="M280" s="2">
        <v>756619.77</v>
      </c>
      <c r="N280" s="2">
        <v>112057.69</v>
      </c>
    </row>
    <row r="281" spans="1:14">
      <c r="A281" s="2" t="s">
        <v>91</v>
      </c>
      <c r="B281" s="3">
        <v>45748</v>
      </c>
      <c r="C281" s="2" t="s">
        <v>24</v>
      </c>
      <c r="D281" s="2" t="s">
        <v>16</v>
      </c>
      <c r="E281" s="2">
        <v>70284.06</v>
      </c>
      <c r="F281" s="2">
        <v>9109</v>
      </c>
      <c r="G281" s="2">
        <v>4.0000000000000001E-3</v>
      </c>
      <c r="H281" s="2">
        <v>23</v>
      </c>
      <c r="I281" s="2">
        <v>87</v>
      </c>
      <c r="J281" s="2">
        <v>3.65</v>
      </c>
      <c r="K281" s="2">
        <v>0</v>
      </c>
      <c r="L281" s="2">
        <v>3.9</v>
      </c>
      <c r="M281" s="2">
        <v>761122.42</v>
      </c>
      <c r="N281" s="2">
        <v>149802.04</v>
      </c>
    </row>
    <row r="282" spans="1:14">
      <c r="A282" s="2" t="s">
        <v>92</v>
      </c>
      <c r="B282" s="3">
        <v>45658</v>
      </c>
      <c r="C282" s="2" t="s">
        <v>24</v>
      </c>
      <c r="D282" s="2" t="s">
        <v>18</v>
      </c>
      <c r="E282" s="2">
        <v>45940.39</v>
      </c>
      <c r="F282" s="2">
        <v>4022</v>
      </c>
      <c r="G282" s="2">
        <v>6.9000000000000006E-2</v>
      </c>
      <c r="H282" s="2">
        <v>10</v>
      </c>
      <c r="I282" s="2">
        <v>83</v>
      </c>
      <c r="J282" s="2">
        <v>1.23</v>
      </c>
      <c r="K282" s="2">
        <v>1</v>
      </c>
      <c r="L282" s="2">
        <v>3.9</v>
      </c>
      <c r="M282" s="2">
        <v>524899.56999999995</v>
      </c>
      <c r="N282" s="2">
        <v>63619.98</v>
      </c>
    </row>
    <row r="283" spans="1:14">
      <c r="A283" s="2" t="s">
        <v>92</v>
      </c>
      <c r="B283" s="3">
        <v>45689</v>
      </c>
      <c r="C283" s="2" t="s">
        <v>24</v>
      </c>
      <c r="D283" s="2" t="s">
        <v>18</v>
      </c>
      <c r="E283" s="2">
        <v>34771.26</v>
      </c>
      <c r="F283" s="2">
        <v>4355</v>
      </c>
      <c r="G283" s="2">
        <v>5.0999999999999997E-2</v>
      </c>
      <c r="H283" s="2">
        <v>15</v>
      </c>
      <c r="I283" s="2">
        <v>87.9</v>
      </c>
      <c r="J283" s="2">
        <v>3.09</v>
      </c>
      <c r="K283" s="2">
        <v>0</v>
      </c>
      <c r="L283" s="2">
        <v>3.9</v>
      </c>
      <c r="M283" s="2">
        <v>555557.77</v>
      </c>
      <c r="N283" s="2">
        <v>86475.51</v>
      </c>
    </row>
    <row r="284" spans="1:14">
      <c r="A284" s="2" t="s">
        <v>92</v>
      </c>
      <c r="B284" s="3">
        <v>45717</v>
      </c>
      <c r="C284" s="2" t="s">
        <v>24</v>
      </c>
      <c r="D284" s="2" t="s">
        <v>18</v>
      </c>
      <c r="E284" s="2">
        <v>66104.19</v>
      </c>
      <c r="F284" s="2">
        <v>5745</v>
      </c>
      <c r="G284" s="2">
        <v>7.0000000000000007E-2</v>
      </c>
      <c r="H284" s="2">
        <v>17</v>
      </c>
      <c r="I284" s="2">
        <v>95.8</v>
      </c>
      <c r="J284" s="2">
        <v>3.15</v>
      </c>
      <c r="K284" s="2">
        <v>0</v>
      </c>
      <c r="L284" s="2">
        <v>3.9</v>
      </c>
      <c r="M284" s="2">
        <v>714083.68</v>
      </c>
      <c r="N284" s="2">
        <v>127231.74</v>
      </c>
    </row>
    <row r="285" spans="1:14">
      <c r="A285" s="2" t="s">
        <v>92</v>
      </c>
      <c r="B285" s="3">
        <v>45748</v>
      </c>
      <c r="C285" s="2" t="s">
        <v>24</v>
      </c>
      <c r="D285" s="2" t="s">
        <v>18</v>
      </c>
      <c r="E285" s="2">
        <v>18599.21</v>
      </c>
      <c r="F285" s="2">
        <v>3027</v>
      </c>
      <c r="G285" s="2">
        <v>0.122</v>
      </c>
      <c r="H285" s="2">
        <v>11</v>
      </c>
      <c r="I285" s="2">
        <v>80.900000000000006</v>
      </c>
      <c r="J285" s="2">
        <v>6.44</v>
      </c>
      <c r="K285" s="2">
        <v>0</v>
      </c>
      <c r="L285" s="2">
        <v>3.9</v>
      </c>
      <c r="M285" s="2">
        <v>497439.82</v>
      </c>
      <c r="N285" s="2">
        <v>93372.75</v>
      </c>
    </row>
    <row r="286" spans="1:14">
      <c r="A286" s="2" t="s">
        <v>93</v>
      </c>
      <c r="B286" s="3">
        <v>45658</v>
      </c>
      <c r="C286" s="2" t="s">
        <v>27</v>
      </c>
      <c r="D286" s="2" t="s">
        <v>16</v>
      </c>
      <c r="E286" s="2">
        <v>60183.06</v>
      </c>
      <c r="F286" s="2">
        <v>5562</v>
      </c>
      <c r="G286" s="2">
        <v>8.9999999999999993E-3</v>
      </c>
      <c r="H286" s="2">
        <v>13</v>
      </c>
      <c r="I286" s="2">
        <v>86.3</v>
      </c>
      <c r="J286" s="2">
        <v>0.2</v>
      </c>
      <c r="K286" s="2">
        <v>1</v>
      </c>
      <c r="L286" s="2">
        <v>3.9</v>
      </c>
      <c r="M286" s="2">
        <v>636775.66</v>
      </c>
      <c r="N286" s="2">
        <v>122636.86</v>
      </c>
    </row>
    <row r="287" spans="1:14">
      <c r="A287" s="2" t="s">
        <v>93</v>
      </c>
      <c r="B287" s="3">
        <v>45689</v>
      </c>
      <c r="C287" s="2" t="s">
        <v>27</v>
      </c>
      <c r="D287" s="2" t="s">
        <v>16</v>
      </c>
      <c r="E287" s="2">
        <v>74539.14</v>
      </c>
      <c r="F287" s="2">
        <v>4487</v>
      </c>
      <c r="G287" s="2">
        <v>0.14000000000000001</v>
      </c>
      <c r="H287" s="2">
        <v>10</v>
      </c>
      <c r="I287" s="2">
        <v>90.4</v>
      </c>
      <c r="J287" s="2">
        <v>0.59</v>
      </c>
      <c r="K287" s="2">
        <v>0</v>
      </c>
      <c r="L287" s="2">
        <v>3.9</v>
      </c>
      <c r="M287" s="2">
        <v>633009.53</v>
      </c>
      <c r="N287" s="2">
        <v>123782.67</v>
      </c>
    </row>
    <row r="288" spans="1:14">
      <c r="A288" s="2" t="s">
        <v>93</v>
      </c>
      <c r="B288" s="3">
        <v>45717</v>
      </c>
      <c r="C288" s="2" t="s">
        <v>27</v>
      </c>
      <c r="D288" s="2" t="s">
        <v>16</v>
      </c>
      <c r="E288" s="2">
        <v>55371.97</v>
      </c>
      <c r="F288" s="2">
        <v>4162</v>
      </c>
      <c r="G288" s="2">
        <v>0.183</v>
      </c>
      <c r="H288" s="2">
        <v>11</v>
      </c>
      <c r="I288" s="2">
        <v>92</v>
      </c>
      <c r="J288" s="2">
        <v>0.2</v>
      </c>
      <c r="K288" s="2">
        <v>1</v>
      </c>
      <c r="L288" s="2">
        <v>3.9</v>
      </c>
      <c r="M288" s="2">
        <v>609949</v>
      </c>
      <c r="N288" s="2">
        <v>126789.25</v>
      </c>
    </row>
    <row r="289" spans="1:14">
      <c r="A289" s="2" t="s">
        <v>93</v>
      </c>
      <c r="B289" s="3">
        <v>45748</v>
      </c>
      <c r="C289" s="2" t="s">
        <v>27</v>
      </c>
      <c r="D289" s="2" t="s">
        <v>16</v>
      </c>
      <c r="E289" s="2">
        <v>40928.69</v>
      </c>
      <c r="F289" s="2">
        <v>4094</v>
      </c>
      <c r="G289" s="2">
        <v>0.17399999999999999</v>
      </c>
      <c r="H289" s="2">
        <v>13</v>
      </c>
      <c r="I289" s="2">
        <v>82.4</v>
      </c>
      <c r="J289" s="2">
        <v>1.36</v>
      </c>
      <c r="K289" s="2">
        <v>0</v>
      </c>
      <c r="L289" s="2">
        <v>3.9</v>
      </c>
      <c r="M289" s="2">
        <v>548103.69999999995</v>
      </c>
      <c r="N289" s="2">
        <v>99905.52</v>
      </c>
    </row>
    <row r="290" spans="1:14">
      <c r="A290" s="2" t="s">
        <v>94</v>
      </c>
      <c r="B290" s="3">
        <v>45658</v>
      </c>
      <c r="C290" s="2" t="s">
        <v>15</v>
      </c>
      <c r="D290" s="2" t="s">
        <v>16</v>
      </c>
      <c r="E290" s="2">
        <v>70012.41</v>
      </c>
      <c r="F290" s="2">
        <v>8484</v>
      </c>
      <c r="G290" s="2">
        <v>0.27300000000000002</v>
      </c>
      <c r="H290" s="2">
        <v>23</v>
      </c>
      <c r="I290" s="2">
        <v>72.900000000000006</v>
      </c>
      <c r="J290" s="2">
        <v>3.34</v>
      </c>
      <c r="K290" s="2">
        <v>0</v>
      </c>
      <c r="L290" s="2">
        <v>3.9</v>
      </c>
      <c r="M290" s="2">
        <v>729424.42</v>
      </c>
      <c r="N290" s="2">
        <v>75592.28</v>
      </c>
    </row>
    <row r="291" spans="1:14">
      <c r="A291" s="2" t="s">
        <v>94</v>
      </c>
      <c r="B291" s="3">
        <v>45689</v>
      </c>
      <c r="C291" s="2" t="s">
        <v>15</v>
      </c>
      <c r="D291" s="2" t="s">
        <v>16</v>
      </c>
      <c r="E291" s="2">
        <v>68909.259999999995</v>
      </c>
      <c r="F291" s="2">
        <v>7794</v>
      </c>
      <c r="G291" s="2">
        <v>0.28399999999999997</v>
      </c>
      <c r="H291" s="2">
        <v>22</v>
      </c>
      <c r="I291" s="2">
        <v>89</v>
      </c>
      <c r="J291" s="2">
        <v>0.33</v>
      </c>
      <c r="K291" s="2">
        <v>0</v>
      </c>
      <c r="L291" s="2">
        <v>3.9</v>
      </c>
      <c r="M291" s="2">
        <v>696261.49</v>
      </c>
      <c r="N291" s="2">
        <v>72455.350000000006</v>
      </c>
    </row>
    <row r="292" spans="1:14">
      <c r="A292" s="2" t="s">
        <v>94</v>
      </c>
      <c r="B292" s="3">
        <v>45717</v>
      </c>
      <c r="C292" s="2" t="s">
        <v>15</v>
      </c>
      <c r="D292" s="2" t="s">
        <v>16</v>
      </c>
      <c r="E292" s="2">
        <v>56737.3</v>
      </c>
      <c r="F292" s="2">
        <v>8300</v>
      </c>
      <c r="G292" s="2">
        <v>3.2000000000000001E-2</v>
      </c>
      <c r="H292" s="2">
        <v>21</v>
      </c>
      <c r="I292" s="2">
        <v>83.2</v>
      </c>
      <c r="J292" s="2">
        <v>3.44</v>
      </c>
      <c r="K292" s="2">
        <v>1</v>
      </c>
      <c r="L292" s="2">
        <v>3.9</v>
      </c>
      <c r="M292" s="2">
        <v>813316.71</v>
      </c>
      <c r="N292" s="2">
        <v>110077.42</v>
      </c>
    </row>
    <row r="293" spans="1:14">
      <c r="A293" s="2" t="s">
        <v>94</v>
      </c>
      <c r="B293" s="3">
        <v>45748</v>
      </c>
      <c r="C293" s="2" t="s">
        <v>15</v>
      </c>
      <c r="D293" s="2" t="s">
        <v>16</v>
      </c>
      <c r="E293" s="2">
        <v>54080.91</v>
      </c>
      <c r="F293" s="2">
        <v>7083</v>
      </c>
      <c r="G293" s="2">
        <v>0</v>
      </c>
      <c r="H293" s="2">
        <v>15</v>
      </c>
      <c r="I293" s="2">
        <v>97</v>
      </c>
      <c r="J293" s="2">
        <v>5.33</v>
      </c>
      <c r="K293" s="2">
        <v>0</v>
      </c>
      <c r="L293" s="2">
        <v>3.9</v>
      </c>
      <c r="M293" s="2">
        <v>702068.92</v>
      </c>
      <c r="N293" s="2">
        <v>111266.63</v>
      </c>
    </row>
    <row r="294" spans="1:14">
      <c r="A294" s="2" t="s">
        <v>95</v>
      </c>
      <c r="B294" s="3">
        <v>45658</v>
      </c>
      <c r="C294" s="2" t="s">
        <v>27</v>
      </c>
      <c r="D294" s="2" t="s">
        <v>18</v>
      </c>
      <c r="E294" s="2">
        <v>51996.32</v>
      </c>
      <c r="F294" s="2">
        <v>3834</v>
      </c>
      <c r="G294" s="2">
        <v>9.6000000000000002E-2</v>
      </c>
      <c r="H294" s="2">
        <v>8</v>
      </c>
      <c r="I294" s="2">
        <v>86.7</v>
      </c>
      <c r="J294" s="2">
        <v>6.04</v>
      </c>
      <c r="K294" s="2">
        <v>0</v>
      </c>
      <c r="L294" s="2">
        <v>3.9</v>
      </c>
      <c r="M294" s="2">
        <v>546223.69999999995</v>
      </c>
      <c r="N294" s="2">
        <v>100769.17</v>
      </c>
    </row>
    <row r="295" spans="1:14">
      <c r="A295" s="2" t="s">
        <v>95</v>
      </c>
      <c r="B295" s="3">
        <v>45689</v>
      </c>
      <c r="C295" s="2" t="s">
        <v>27</v>
      </c>
      <c r="D295" s="2" t="s">
        <v>18</v>
      </c>
      <c r="E295" s="2">
        <v>40102.879999999997</v>
      </c>
      <c r="F295" s="2">
        <v>2358</v>
      </c>
      <c r="G295" s="2">
        <v>0.11899999999999999</v>
      </c>
      <c r="H295" s="2">
        <v>9</v>
      </c>
      <c r="I295" s="2">
        <v>88.7</v>
      </c>
      <c r="J295" s="2">
        <v>1.6</v>
      </c>
      <c r="K295" s="2">
        <v>0</v>
      </c>
      <c r="L295" s="2">
        <v>3.9</v>
      </c>
      <c r="M295" s="2">
        <v>533121.26</v>
      </c>
      <c r="N295" s="2">
        <v>55063.39</v>
      </c>
    </row>
    <row r="296" spans="1:14">
      <c r="A296" s="2" t="s">
        <v>95</v>
      </c>
      <c r="B296" s="3">
        <v>45717</v>
      </c>
      <c r="C296" s="2" t="s">
        <v>27</v>
      </c>
      <c r="D296" s="2" t="s">
        <v>18</v>
      </c>
      <c r="E296" s="2">
        <v>59825.51</v>
      </c>
      <c r="F296" s="2">
        <v>1231</v>
      </c>
      <c r="G296" s="2">
        <v>0.214</v>
      </c>
      <c r="H296" s="2">
        <v>10</v>
      </c>
      <c r="I296" s="2">
        <v>84.8</v>
      </c>
      <c r="J296" s="2">
        <v>8.9600000000000009</v>
      </c>
      <c r="K296" s="2">
        <v>0</v>
      </c>
      <c r="L296" s="2">
        <v>3.9</v>
      </c>
      <c r="M296" s="2">
        <v>498970.32</v>
      </c>
      <c r="N296" s="2">
        <v>69656.7</v>
      </c>
    </row>
    <row r="297" spans="1:14">
      <c r="A297" s="2" t="s">
        <v>95</v>
      </c>
      <c r="B297" s="3">
        <v>45748</v>
      </c>
      <c r="C297" s="2" t="s">
        <v>27</v>
      </c>
      <c r="D297" s="2" t="s">
        <v>18</v>
      </c>
      <c r="E297" s="2">
        <v>27398.28</v>
      </c>
      <c r="F297" s="2">
        <v>1723</v>
      </c>
      <c r="G297" s="2">
        <v>0.17100000000000001</v>
      </c>
      <c r="H297" s="2">
        <v>9</v>
      </c>
      <c r="I297" s="2">
        <v>81</v>
      </c>
      <c r="J297" s="2">
        <v>0.74</v>
      </c>
      <c r="K297" s="2">
        <v>0</v>
      </c>
      <c r="L297" s="2">
        <v>3.9</v>
      </c>
      <c r="M297" s="2">
        <v>487738.26</v>
      </c>
      <c r="N297" s="2">
        <v>96435.6</v>
      </c>
    </row>
    <row r="298" spans="1:14">
      <c r="A298" s="2" t="s">
        <v>96</v>
      </c>
      <c r="B298" s="3">
        <v>45658</v>
      </c>
      <c r="C298" s="2" t="s">
        <v>27</v>
      </c>
      <c r="D298" s="2" t="s">
        <v>18</v>
      </c>
      <c r="E298" s="2">
        <v>55599.56</v>
      </c>
      <c r="F298" s="2">
        <v>5896</v>
      </c>
      <c r="G298" s="2">
        <v>3.5999999999999997E-2</v>
      </c>
      <c r="H298" s="2">
        <v>12</v>
      </c>
      <c r="I298" s="2">
        <v>93.1</v>
      </c>
      <c r="J298" s="2">
        <v>6.13</v>
      </c>
      <c r="K298" s="2">
        <v>0</v>
      </c>
      <c r="L298" s="2">
        <v>3.9</v>
      </c>
      <c r="M298" s="2">
        <v>668459.37</v>
      </c>
      <c r="N298" s="2">
        <v>126435.42</v>
      </c>
    </row>
    <row r="299" spans="1:14">
      <c r="A299" s="2" t="s">
        <v>96</v>
      </c>
      <c r="B299" s="3">
        <v>45689</v>
      </c>
      <c r="C299" s="2" t="s">
        <v>27</v>
      </c>
      <c r="D299" s="2" t="s">
        <v>18</v>
      </c>
      <c r="E299" s="2">
        <v>55477.61</v>
      </c>
      <c r="F299" s="2">
        <v>5903</v>
      </c>
      <c r="G299" s="2">
        <v>0.10199999999999999</v>
      </c>
      <c r="H299" s="2">
        <v>14</v>
      </c>
      <c r="I299" s="2">
        <v>96.2</v>
      </c>
      <c r="J299" s="2">
        <v>1.41</v>
      </c>
      <c r="K299" s="2">
        <v>0</v>
      </c>
      <c r="L299" s="2">
        <v>3.9</v>
      </c>
      <c r="M299" s="2">
        <v>763162.45</v>
      </c>
      <c r="N299" s="2">
        <v>162524.04999999999</v>
      </c>
    </row>
    <row r="300" spans="1:14">
      <c r="A300" s="2" t="s">
        <v>96</v>
      </c>
      <c r="B300" s="3">
        <v>45717</v>
      </c>
      <c r="C300" s="2" t="s">
        <v>27</v>
      </c>
      <c r="D300" s="2" t="s">
        <v>18</v>
      </c>
      <c r="E300" s="2">
        <v>46174.7</v>
      </c>
      <c r="F300" s="2">
        <v>4898</v>
      </c>
      <c r="G300" s="2">
        <v>0.114</v>
      </c>
      <c r="H300" s="2">
        <v>11</v>
      </c>
      <c r="I300" s="2">
        <v>91.7</v>
      </c>
      <c r="J300" s="2">
        <v>3.75</v>
      </c>
      <c r="K300" s="2">
        <v>0</v>
      </c>
      <c r="L300" s="2">
        <v>3.9</v>
      </c>
      <c r="M300" s="2">
        <v>599017.32999999996</v>
      </c>
      <c r="N300" s="2">
        <v>134009.92000000001</v>
      </c>
    </row>
    <row r="301" spans="1:14">
      <c r="A301" s="2" t="s">
        <v>96</v>
      </c>
      <c r="B301" s="3">
        <v>45748</v>
      </c>
      <c r="C301" s="2" t="s">
        <v>27</v>
      </c>
      <c r="D301" s="2" t="s">
        <v>18</v>
      </c>
      <c r="E301" s="2">
        <v>24362.98</v>
      </c>
      <c r="F301" s="2">
        <v>1462</v>
      </c>
      <c r="G301" s="2">
        <v>0.11700000000000001</v>
      </c>
      <c r="H301" s="2">
        <v>6</v>
      </c>
      <c r="I301" s="2">
        <v>89.3</v>
      </c>
      <c r="J301" s="2">
        <v>15.06</v>
      </c>
      <c r="K301" s="2">
        <v>0</v>
      </c>
      <c r="L301" s="2">
        <v>3.9</v>
      </c>
      <c r="M301" s="2">
        <v>401582.58</v>
      </c>
      <c r="N301" s="2">
        <v>68454.929999999993</v>
      </c>
    </row>
    <row r="302" spans="1:14">
      <c r="A302" s="2" t="s">
        <v>97</v>
      </c>
      <c r="B302" s="3">
        <v>45658</v>
      </c>
      <c r="C302" s="2" t="s">
        <v>20</v>
      </c>
      <c r="D302" s="2" t="s">
        <v>28</v>
      </c>
      <c r="E302" s="2">
        <v>40647.67</v>
      </c>
      <c r="F302" s="2">
        <v>8252</v>
      </c>
      <c r="G302" s="2">
        <v>0.14099999999999999</v>
      </c>
      <c r="H302" s="2">
        <v>22</v>
      </c>
      <c r="I302" s="2">
        <v>88.2</v>
      </c>
      <c r="J302" s="2">
        <v>5.07</v>
      </c>
      <c r="K302" s="2">
        <v>1</v>
      </c>
      <c r="L302" s="2">
        <v>3.9</v>
      </c>
      <c r="M302" s="2">
        <v>703812.99</v>
      </c>
      <c r="N302" s="2">
        <v>133577.98000000001</v>
      </c>
    </row>
    <row r="303" spans="1:14">
      <c r="A303" s="2" t="s">
        <v>97</v>
      </c>
      <c r="B303" s="3">
        <v>45689</v>
      </c>
      <c r="C303" s="2" t="s">
        <v>20</v>
      </c>
      <c r="D303" s="2" t="s">
        <v>28</v>
      </c>
      <c r="E303" s="2">
        <v>63986.98</v>
      </c>
      <c r="F303" s="2">
        <v>7989</v>
      </c>
      <c r="G303" s="2">
        <v>7.3999999999999996E-2</v>
      </c>
      <c r="H303" s="2">
        <v>20</v>
      </c>
      <c r="I303" s="2">
        <v>83.3</v>
      </c>
      <c r="J303" s="2">
        <v>3.6</v>
      </c>
      <c r="K303" s="2">
        <v>0</v>
      </c>
      <c r="L303" s="2">
        <v>3.9</v>
      </c>
      <c r="M303" s="2">
        <v>724346.73</v>
      </c>
      <c r="N303" s="2">
        <v>155013.91</v>
      </c>
    </row>
    <row r="304" spans="1:14">
      <c r="A304" s="2" t="s">
        <v>97</v>
      </c>
      <c r="B304" s="3">
        <v>45717</v>
      </c>
      <c r="C304" s="2" t="s">
        <v>20</v>
      </c>
      <c r="D304" s="2" t="s">
        <v>28</v>
      </c>
      <c r="E304" s="2">
        <v>52843.75</v>
      </c>
      <c r="F304" s="2">
        <v>8268</v>
      </c>
      <c r="G304" s="2">
        <v>0.13800000000000001</v>
      </c>
      <c r="H304" s="2">
        <v>19</v>
      </c>
      <c r="I304" s="2">
        <v>87.3</v>
      </c>
      <c r="J304" s="2">
        <v>4.3899999999999997</v>
      </c>
      <c r="K304" s="2">
        <v>1</v>
      </c>
      <c r="L304" s="2">
        <v>3.9</v>
      </c>
      <c r="M304" s="2">
        <v>730890.01</v>
      </c>
      <c r="N304" s="2">
        <v>105502.56</v>
      </c>
    </row>
    <row r="305" spans="1:14">
      <c r="A305" s="2" t="s">
        <v>97</v>
      </c>
      <c r="B305" s="3">
        <v>45748</v>
      </c>
      <c r="C305" s="2" t="s">
        <v>20</v>
      </c>
      <c r="D305" s="2" t="s">
        <v>28</v>
      </c>
      <c r="E305" s="2">
        <v>31997.25</v>
      </c>
      <c r="F305" s="2">
        <v>8183</v>
      </c>
      <c r="G305" s="2">
        <v>0.19800000000000001</v>
      </c>
      <c r="H305" s="2">
        <v>18</v>
      </c>
      <c r="I305" s="2">
        <v>93</v>
      </c>
      <c r="J305" s="2">
        <v>2.79</v>
      </c>
      <c r="K305" s="2">
        <v>0</v>
      </c>
      <c r="L305" s="2">
        <v>3.9</v>
      </c>
      <c r="M305" s="2">
        <v>780580.95</v>
      </c>
      <c r="N305" s="2">
        <v>138144.46</v>
      </c>
    </row>
    <row r="306" spans="1:14">
      <c r="A306" s="2" t="s">
        <v>98</v>
      </c>
      <c r="B306" s="3">
        <v>45658</v>
      </c>
      <c r="C306" s="2" t="s">
        <v>24</v>
      </c>
      <c r="D306" s="2" t="s">
        <v>16</v>
      </c>
      <c r="E306" s="2">
        <v>54948.02</v>
      </c>
      <c r="F306" s="2">
        <v>6534</v>
      </c>
      <c r="G306" s="2">
        <v>0.183</v>
      </c>
      <c r="H306" s="2">
        <v>14</v>
      </c>
      <c r="I306" s="2">
        <v>94.5</v>
      </c>
      <c r="J306" s="2">
        <v>1.56</v>
      </c>
      <c r="K306" s="2">
        <v>0</v>
      </c>
      <c r="L306" s="2">
        <v>3.9</v>
      </c>
      <c r="M306" s="2">
        <v>727957.48</v>
      </c>
      <c r="N306" s="2">
        <v>74805.23</v>
      </c>
    </row>
    <row r="307" spans="1:14">
      <c r="A307" s="2" t="s">
        <v>98</v>
      </c>
      <c r="B307" s="3">
        <v>45689</v>
      </c>
      <c r="C307" s="2" t="s">
        <v>24</v>
      </c>
      <c r="D307" s="2" t="s">
        <v>16</v>
      </c>
      <c r="E307" s="2">
        <v>46146.239999999998</v>
      </c>
      <c r="F307" s="2">
        <v>5804</v>
      </c>
      <c r="G307" s="2">
        <v>4.7E-2</v>
      </c>
      <c r="H307" s="2">
        <v>16</v>
      </c>
      <c r="I307" s="2">
        <v>86.9</v>
      </c>
      <c r="J307" s="2">
        <v>15.82</v>
      </c>
      <c r="K307" s="2">
        <v>0</v>
      </c>
      <c r="L307" s="2">
        <v>3.9</v>
      </c>
      <c r="M307" s="2">
        <v>538376</v>
      </c>
      <c r="N307" s="2">
        <v>87605.62</v>
      </c>
    </row>
    <row r="308" spans="1:14">
      <c r="A308" s="2" t="s">
        <v>98</v>
      </c>
      <c r="B308" s="3">
        <v>45717</v>
      </c>
      <c r="C308" s="2" t="s">
        <v>24</v>
      </c>
      <c r="D308" s="2" t="s">
        <v>16</v>
      </c>
      <c r="E308" s="2">
        <v>22387.26</v>
      </c>
      <c r="F308" s="2">
        <v>6301</v>
      </c>
      <c r="G308" s="2">
        <v>0.14599999999999999</v>
      </c>
      <c r="H308" s="2">
        <v>14</v>
      </c>
      <c r="I308" s="2">
        <v>85.9</v>
      </c>
      <c r="J308" s="2">
        <v>1.17</v>
      </c>
      <c r="K308" s="2">
        <v>1</v>
      </c>
      <c r="L308" s="2">
        <v>3.9</v>
      </c>
      <c r="M308" s="2">
        <v>665342.49</v>
      </c>
      <c r="N308" s="2">
        <v>93441.81</v>
      </c>
    </row>
    <row r="309" spans="1:14">
      <c r="A309" s="2" t="s">
        <v>98</v>
      </c>
      <c r="B309" s="3">
        <v>45748</v>
      </c>
      <c r="C309" s="2" t="s">
        <v>24</v>
      </c>
      <c r="D309" s="2" t="s">
        <v>16</v>
      </c>
      <c r="E309" s="2">
        <v>60684.05</v>
      </c>
      <c r="F309" s="2">
        <v>6399</v>
      </c>
      <c r="G309" s="2">
        <v>7.4999999999999997E-2</v>
      </c>
      <c r="H309" s="2">
        <v>16</v>
      </c>
      <c r="I309" s="2">
        <v>99</v>
      </c>
      <c r="J309" s="2">
        <v>3.82</v>
      </c>
      <c r="K309" s="2">
        <v>0</v>
      </c>
      <c r="L309" s="2">
        <v>3.9</v>
      </c>
      <c r="M309" s="2">
        <v>651164.18000000005</v>
      </c>
      <c r="N309" s="2">
        <v>109466.5</v>
      </c>
    </row>
    <row r="310" spans="1:14">
      <c r="A310" s="2" t="s">
        <v>99</v>
      </c>
      <c r="B310" s="3">
        <v>45658</v>
      </c>
      <c r="C310" s="2" t="s">
        <v>24</v>
      </c>
      <c r="D310" s="2" t="s">
        <v>18</v>
      </c>
      <c r="E310" s="2">
        <v>48465.599999999999</v>
      </c>
      <c r="F310" s="2">
        <v>5759</v>
      </c>
      <c r="G310" s="2">
        <v>0.154</v>
      </c>
      <c r="H310" s="2">
        <v>13</v>
      </c>
      <c r="I310" s="2">
        <v>87.5</v>
      </c>
      <c r="J310" s="2">
        <v>4.1399999999999997</v>
      </c>
      <c r="K310" s="2">
        <v>0</v>
      </c>
      <c r="L310" s="2">
        <v>3.9</v>
      </c>
      <c r="M310" s="2">
        <v>628538.30000000005</v>
      </c>
      <c r="N310" s="2">
        <v>112509.15</v>
      </c>
    </row>
    <row r="311" spans="1:14">
      <c r="A311" s="2" t="s">
        <v>99</v>
      </c>
      <c r="B311" s="3">
        <v>45689</v>
      </c>
      <c r="C311" s="2" t="s">
        <v>24</v>
      </c>
      <c r="D311" s="2" t="s">
        <v>18</v>
      </c>
      <c r="E311" s="2">
        <v>23702.38</v>
      </c>
      <c r="F311" s="2">
        <v>5285</v>
      </c>
      <c r="G311" s="2">
        <v>0.16700000000000001</v>
      </c>
      <c r="H311" s="2">
        <v>14</v>
      </c>
      <c r="I311" s="2">
        <v>79.7</v>
      </c>
      <c r="J311" s="2">
        <v>1.1000000000000001</v>
      </c>
      <c r="K311" s="2">
        <v>0</v>
      </c>
      <c r="L311" s="2">
        <v>3.9</v>
      </c>
      <c r="M311" s="2">
        <v>536524.84</v>
      </c>
      <c r="N311" s="2">
        <v>92752.94</v>
      </c>
    </row>
    <row r="312" spans="1:14">
      <c r="A312" s="2" t="s">
        <v>99</v>
      </c>
      <c r="B312" s="3">
        <v>45717</v>
      </c>
      <c r="C312" s="2" t="s">
        <v>24</v>
      </c>
      <c r="D312" s="2" t="s">
        <v>18</v>
      </c>
      <c r="E312" s="2">
        <v>54322.94</v>
      </c>
      <c r="F312" s="2">
        <v>5434</v>
      </c>
      <c r="G312" s="2">
        <v>0.2</v>
      </c>
      <c r="H312" s="2">
        <v>13</v>
      </c>
      <c r="I312" s="2">
        <v>85.7</v>
      </c>
      <c r="J312" s="2">
        <v>10.6</v>
      </c>
      <c r="K312" s="2">
        <v>0</v>
      </c>
      <c r="L312" s="2">
        <v>3.9</v>
      </c>
      <c r="M312" s="2">
        <v>621677.30000000005</v>
      </c>
      <c r="N312" s="2">
        <v>105192.52</v>
      </c>
    </row>
    <row r="313" spans="1:14">
      <c r="A313" s="2" t="s">
        <v>99</v>
      </c>
      <c r="B313" s="3">
        <v>45748</v>
      </c>
      <c r="C313" s="2" t="s">
        <v>24</v>
      </c>
      <c r="D313" s="2" t="s">
        <v>18</v>
      </c>
      <c r="E313" s="2">
        <v>86026.58</v>
      </c>
      <c r="F313" s="2">
        <v>7479</v>
      </c>
      <c r="G313" s="2">
        <v>0.14199999999999999</v>
      </c>
      <c r="H313" s="2">
        <v>20</v>
      </c>
      <c r="I313" s="2">
        <v>89</v>
      </c>
      <c r="J313" s="2">
        <v>0.9</v>
      </c>
      <c r="K313" s="2">
        <v>0</v>
      </c>
      <c r="L313" s="2">
        <v>3.9</v>
      </c>
      <c r="M313" s="2">
        <v>771129.07</v>
      </c>
      <c r="N313" s="2">
        <v>116851.13</v>
      </c>
    </row>
    <row r="314" spans="1:14">
      <c r="A314" s="2" t="s">
        <v>100</v>
      </c>
      <c r="B314" s="3">
        <v>45658</v>
      </c>
      <c r="C314" s="2" t="s">
        <v>20</v>
      </c>
      <c r="D314" s="2" t="s">
        <v>16</v>
      </c>
      <c r="E314" s="2">
        <v>78967.520000000004</v>
      </c>
      <c r="F314" s="2">
        <v>6164</v>
      </c>
      <c r="G314" s="2">
        <v>2.1000000000000001E-2</v>
      </c>
      <c r="H314" s="2">
        <v>16</v>
      </c>
      <c r="I314" s="2">
        <v>85.5</v>
      </c>
      <c r="J314" s="2">
        <v>0.2</v>
      </c>
      <c r="K314" s="2">
        <v>0</v>
      </c>
      <c r="L314" s="2">
        <v>3.9</v>
      </c>
      <c r="M314" s="2">
        <v>702052.47</v>
      </c>
      <c r="N314" s="2">
        <v>121732.51</v>
      </c>
    </row>
    <row r="315" spans="1:14">
      <c r="A315" s="2" t="s">
        <v>100</v>
      </c>
      <c r="B315" s="3">
        <v>45689</v>
      </c>
      <c r="C315" s="2" t="s">
        <v>20</v>
      </c>
      <c r="D315" s="2" t="s">
        <v>16</v>
      </c>
      <c r="E315" s="2">
        <v>46767.99</v>
      </c>
      <c r="F315" s="2">
        <v>7973</v>
      </c>
      <c r="G315" s="2">
        <v>0.183</v>
      </c>
      <c r="H315" s="2">
        <v>18</v>
      </c>
      <c r="I315" s="2">
        <v>94.8</v>
      </c>
      <c r="J315" s="2">
        <v>4.67</v>
      </c>
      <c r="K315" s="2">
        <v>0</v>
      </c>
      <c r="L315" s="2">
        <v>3.9</v>
      </c>
      <c r="M315" s="2">
        <v>688368.46</v>
      </c>
      <c r="N315" s="2">
        <v>93588.42</v>
      </c>
    </row>
    <row r="316" spans="1:14">
      <c r="A316" s="2" t="s">
        <v>100</v>
      </c>
      <c r="B316" s="3">
        <v>45717</v>
      </c>
      <c r="C316" s="2" t="s">
        <v>20</v>
      </c>
      <c r="D316" s="2" t="s">
        <v>16</v>
      </c>
      <c r="E316" s="2">
        <v>62507.16</v>
      </c>
      <c r="F316" s="2">
        <v>6000</v>
      </c>
      <c r="G316" s="2">
        <v>9.0999999999999998E-2</v>
      </c>
      <c r="H316" s="2">
        <v>14</v>
      </c>
      <c r="I316" s="2">
        <v>98.2</v>
      </c>
      <c r="J316" s="2">
        <v>4.38</v>
      </c>
      <c r="K316" s="2">
        <v>1</v>
      </c>
      <c r="L316" s="2">
        <v>3.9</v>
      </c>
      <c r="M316" s="2">
        <v>712375.77</v>
      </c>
      <c r="N316" s="2">
        <v>104171.53</v>
      </c>
    </row>
    <row r="317" spans="1:14">
      <c r="A317" s="2" t="s">
        <v>100</v>
      </c>
      <c r="B317" s="3">
        <v>45748</v>
      </c>
      <c r="C317" s="2" t="s">
        <v>20</v>
      </c>
      <c r="D317" s="2" t="s">
        <v>16</v>
      </c>
      <c r="E317" s="2">
        <v>66456.28</v>
      </c>
      <c r="F317" s="2">
        <v>9967</v>
      </c>
      <c r="G317" s="2">
        <v>0.108</v>
      </c>
      <c r="H317" s="2">
        <v>20</v>
      </c>
      <c r="I317" s="2">
        <v>94.7</v>
      </c>
      <c r="J317" s="2">
        <v>4.4800000000000004</v>
      </c>
      <c r="K317" s="2">
        <v>0</v>
      </c>
      <c r="L317" s="2">
        <v>4.2</v>
      </c>
      <c r="M317" s="2">
        <v>844710.67</v>
      </c>
      <c r="N317" s="2">
        <v>137140.18</v>
      </c>
    </row>
    <row r="318" spans="1:14">
      <c r="A318" s="2" t="s">
        <v>101</v>
      </c>
      <c r="B318" s="3">
        <v>45658</v>
      </c>
      <c r="C318" s="2" t="s">
        <v>15</v>
      </c>
      <c r="D318" s="2" t="s">
        <v>16</v>
      </c>
      <c r="E318" s="2">
        <v>76614.320000000007</v>
      </c>
      <c r="F318" s="2">
        <v>5639</v>
      </c>
      <c r="G318" s="2">
        <v>0.17399999999999999</v>
      </c>
      <c r="H318" s="2">
        <v>15</v>
      </c>
      <c r="I318" s="2">
        <v>92.9</v>
      </c>
      <c r="J318" s="2">
        <v>1.02</v>
      </c>
      <c r="K318" s="2">
        <v>1</v>
      </c>
      <c r="L318" s="2">
        <v>4</v>
      </c>
      <c r="M318" s="2">
        <v>620264.19999999995</v>
      </c>
      <c r="N318" s="2">
        <v>91365.64</v>
      </c>
    </row>
    <row r="319" spans="1:14">
      <c r="A319" s="2" t="s">
        <v>101</v>
      </c>
      <c r="B319" s="3">
        <v>45689</v>
      </c>
      <c r="C319" s="2" t="s">
        <v>15</v>
      </c>
      <c r="D319" s="2" t="s">
        <v>16</v>
      </c>
      <c r="E319" s="2">
        <v>24088.06</v>
      </c>
      <c r="F319" s="2">
        <v>3466</v>
      </c>
      <c r="G319" s="2">
        <v>0</v>
      </c>
      <c r="H319" s="2">
        <v>11</v>
      </c>
      <c r="I319" s="2">
        <v>88</v>
      </c>
      <c r="J319" s="2">
        <v>0.2</v>
      </c>
      <c r="K319" s="2">
        <v>0</v>
      </c>
      <c r="L319" s="2">
        <v>3.8</v>
      </c>
      <c r="M319" s="2">
        <v>536845.42000000004</v>
      </c>
      <c r="N319" s="2">
        <v>107473.75</v>
      </c>
    </row>
    <row r="320" spans="1:14">
      <c r="A320" s="2" t="s">
        <v>101</v>
      </c>
      <c r="B320" s="3">
        <v>45717</v>
      </c>
      <c r="C320" s="2" t="s">
        <v>15</v>
      </c>
      <c r="D320" s="2" t="s">
        <v>16</v>
      </c>
      <c r="E320" s="2">
        <v>81902.58</v>
      </c>
      <c r="F320" s="2">
        <v>7775</v>
      </c>
      <c r="G320" s="2">
        <v>0.215</v>
      </c>
      <c r="H320" s="2">
        <v>20</v>
      </c>
      <c r="I320" s="2">
        <v>85.2</v>
      </c>
      <c r="J320" s="2">
        <v>4.8899999999999997</v>
      </c>
      <c r="K320" s="2">
        <v>1</v>
      </c>
      <c r="L320" s="2">
        <v>4.2</v>
      </c>
      <c r="M320" s="2">
        <v>726776.22</v>
      </c>
      <c r="N320" s="2">
        <v>90804.49</v>
      </c>
    </row>
    <row r="321" spans="1:14">
      <c r="A321" s="2" t="s">
        <v>101</v>
      </c>
      <c r="B321" s="3">
        <v>45748</v>
      </c>
      <c r="C321" s="2" t="s">
        <v>15</v>
      </c>
      <c r="D321" s="2" t="s">
        <v>16</v>
      </c>
      <c r="E321" s="2">
        <v>40553.11</v>
      </c>
      <c r="F321" s="2">
        <v>5317</v>
      </c>
      <c r="G321" s="2">
        <v>0.16500000000000001</v>
      </c>
      <c r="H321" s="2">
        <v>17</v>
      </c>
      <c r="I321" s="2">
        <v>84.3</v>
      </c>
      <c r="J321" s="2">
        <v>11.82</v>
      </c>
      <c r="K321" s="2">
        <v>0</v>
      </c>
      <c r="L321" s="2">
        <v>4.0999999999999996</v>
      </c>
      <c r="M321" s="2">
        <v>559660.84</v>
      </c>
      <c r="N321" s="2">
        <v>71443.61</v>
      </c>
    </row>
  </sheetData>
  <autoFilter ref="A1:O32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21"/>
  <sheetViews>
    <sheetView topLeftCell="A2" workbookViewId="0">
      <selection activeCell="B8" sqref="B8"/>
    </sheetView>
  </sheetViews>
  <sheetFormatPr defaultRowHeight="14"/>
  <cols>
    <col min="1" max="1" width="18.58203125" bestFit="1" customWidth="1"/>
    <col min="2" max="2" width="11.75" bestFit="1" customWidth="1"/>
    <col min="3" max="3" width="13.33203125" bestFit="1" customWidth="1"/>
    <col min="4" max="5" width="12.08203125" bestFit="1" customWidth="1"/>
    <col min="6" max="6" width="12.83203125" bestFit="1" customWidth="1"/>
    <col min="7" max="7" width="11.75" bestFit="1" customWidth="1"/>
    <col min="8" max="8" width="11.9140625" bestFit="1" customWidth="1"/>
    <col min="9" max="9" width="12" bestFit="1" customWidth="1"/>
  </cols>
  <sheetData>
    <row r="4" spans="1:6">
      <c r="A4" t="s">
        <v>124</v>
      </c>
    </row>
    <row r="5" spans="1:6" ht="14.5" thickBot="1"/>
    <row r="6" spans="1:6" ht="14.5">
      <c r="A6" s="9" t="s">
        <v>125</v>
      </c>
      <c r="B6" s="9"/>
    </row>
    <row r="7" spans="1:6">
      <c r="A7" s="6" t="s">
        <v>126</v>
      </c>
      <c r="B7" s="6">
        <v>0.40895561021322352</v>
      </c>
    </row>
    <row r="8" spans="1:6">
      <c r="A8" s="6" t="s">
        <v>127</v>
      </c>
      <c r="B8" s="6">
        <v>0.16724469112487</v>
      </c>
    </row>
    <row r="9" spans="1:6">
      <c r="A9" s="6" t="s">
        <v>128</v>
      </c>
      <c r="B9" s="6">
        <v>0.16462596373847024</v>
      </c>
    </row>
    <row r="10" spans="1:6">
      <c r="A10" s="6" t="s">
        <v>129</v>
      </c>
      <c r="B10" s="6">
        <v>94846.03383215853</v>
      </c>
    </row>
    <row r="11" spans="1:6" ht="14.5" thickBot="1">
      <c r="A11" s="7" t="s">
        <v>130</v>
      </c>
      <c r="B11" s="7">
        <v>320</v>
      </c>
    </row>
    <row r="13" spans="1:6" ht="14.5" thickBot="1">
      <c r="A13" t="s">
        <v>131</v>
      </c>
    </row>
    <row r="14" spans="1:6" ht="14.5">
      <c r="A14" s="8"/>
      <c r="B14" s="8" t="s">
        <v>136</v>
      </c>
      <c r="C14" s="8" t="s">
        <v>137</v>
      </c>
      <c r="D14" s="8" t="s">
        <v>138</v>
      </c>
      <c r="E14" s="8" t="s">
        <v>139</v>
      </c>
      <c r="F14" s="8" t="s">
        <v>140</v>
      </c>
    </row>
    <row r="15" spans="1:6">
      <c r="A15" s="6" t="s">
        <v>132</v>
      </c>
      <c r="B15" s="6">
        <v>1</v>
      </c>
      <c r="C15" s="6">
        <v>574513714277.01416</v>
      </c>
      <c r="D15" s="6">
        <v>574513714277.01416</v>
      </c>
      <c r="E15" s="6">
        <v>63.864872683367629</v>
      </c>
      <c r="F15" s="6">
        <v>2.4800615101359619E-14</v>
      </c>
    </row>
    <row r="16" spans="1:6">
      <c r="A16" s="6" t="s">
        <v>133</v>
      </c>
      <c r="B16" s="6">
        <v>318</v>
      </c>
      <c r="C16" s="6">
        <v>2860654902513.7251</v>
      </c>
      <c r="D16" s="6">
        <v>8995770133.6909599</v>
      </c>
      <c r="E16" s="6"/>
      <c r="F16" s="6"/>
    </row>
    <row r="17" spans="1:9" ht="14.5" thickBot="1">
      <c r="A17" s="7" t="s">
        <v>134</v>
      </c>
      <c r="B17" s="7">
        <v>319</v>
      </c>
      <c r="C17" s="7">
        <v>3435168616790.7393</v>
      </c>
      <c r="D17" s="7"/>
      <c r="E17" s="7"/>
      <c r="F17" s="7"/>
    </row>
    <row r="18" spans="1:9" ht="14.5" thickBot="1"/>
    <row r="19" spans="1:9" ht="14.5">
      <c r="A19" s="8"/>
      <c r="B19" s="8" t="s">
        <v>141</v>
      </c>
      <c r="C19" s="8" t="s">
        <v>129</v>
      </c>
      <c r="D19" s="8" t="s">
        <v>142</v>
      </c>
      <c r="E19" s="8" t="s">
        <v>143</v>
      </c>
      <c r="F19" s="8" t="s">
        <v>144</v>
      </c>
      <c r="G19" s="8" t="s">
        <v>145</v>
      </c>
      <c r="H19" s="8" t="s">
        <v>146</v>
      </c>
      <c r="I19" s="8" t="s">
        <v>147</v>
      </c>
    </row>
    <row r="20" spans="1:9">
      <c r="A20" s="6" t="s">
        <v>135</v>
      </c>
      <c r="B20" s="6">
        <v>560777.34544943704</v>
      </c>
      <c r="C20" s="6">
        <v>15906.905953068674</v>
      </c>
      <c r="D20" s="6">
        <v>35.253703460870398</v>
      </c>
      <c r="E20" s="6">
        <v>6.952876876284135E-112</v>
      </c>
      <c r="F20" s="6">
        <v>529481.27234763221</v>
      </c>
      <c r="G20" s="6">
        <v>592073.41855124186</v>
      </c>
      <c r="H20" s="6">
        <v>529481.27234763221</v>
      </c>
      <c r="I20" s="6">
        <v>592073.41855124186</v>
      </c>
    </row>
    <row r="21" spans="1:9" ht="14.5" thickBot="1">
      <c r="A21" s="7" t="s">
        <v>4</v>
      </c>
      <c r="B21" s="7">
        <v>2.1295753275898281</v>
      </c>
      <c r="C21" s="7">
        <v>0.26647838106932348</v>
      </c>
      <c r="D21" s="7">
        <v>7.991550080138869</v>
      </c>
      <c r="E21" s="7">
        <v>2.4800615101360068E-14</v>
      </c>
      <c r="F21" s="7">
        <v>1.6052919176921738</v>
      </c>
      <c r="G21" s="7">
        <v>2.6538587374874822</v>
      </c>
      <c r="H21" s="7">
        <v>1.6052919176921738</v>
      </c>
      <c r="I21" s="7">
        <v>2.6538587374874822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21"/>
  <sheetViews>
    <sheetView topLeftCell="A4" workbookViewId="0">
      <selection activeCell="B8" sqref="B8"/>
    </sheetView>
  </sheetViews>
  <sheetFormatPr defaultRowHeight="14"/>
  <cols>
    <col min="1" max="1" width="18.58203125" bestFit="1" customWidth="1"/>
    <col min="2" max="2" width="11.75" bestFit="1" customWidth="1"/>
    <col min="3" max="3" width="13.33203125" bestFit="1" customWidth="1"/>
    <col min="4" max="5" width="12.08203125" bestFit="1" customWidth="1"/>
    <col min="6" max="6" width="12.83203125" bestFit="1" customWidth="1"/>
    <col min="7" max="7" width="11.75" bestFit="1" customWidth="1"/>
    <col min="8" max="8" width="11.9140625" bestFit="1" customWidth="1"/>
    <col min="9" max="9" width="12" bestFit="1" customWidth="1"/>
  </cols>
  <sheetData>
    <row r="4" spans="1:6">
      <c r="A4" t="s">
        <v>124</v>
      </c>
    </row>
    <row r="5" spans="1:6" ht="14.5" thickBot="1"/>
    <row r="6" spans="1:6" ht="14.5">
      <c r="A6" s="9" t="s">
        <v>125</v>
      </c>
      <c r="B6" s="9"/>
    </row>
    <row r="7" spans="1:6">
      <c r="A7" s="6" t="s">
        <v>126</v>
      </c>
      <c r="B7" s="6">
        <v>0.85807070804410468</v>
      </c>
    </row>
    <row r="8" spans="1:6">
      <c r="A8" s="6" t="s">
        <v>127</v>
      </c>
      <c r="B8" s="6">
        <v>0.73628534000331114</v>
      </c>
    </row>
    <row r="9" spans="1:6">
      <c r="A9" s="6" t="s">
        <v>128</v>
      </c>
      <c r="B9" s="6">
        <v>0.73545604861967373</v>
      </c>
    </row>
    <row r="10" spans="1:6">
      <c r="A10" s="6" t="s">
        <v>129</v>
      </c>
      <c r="B10" s="6">
        <v>53373.736380790499</v>
      </c>
    </row>
    <row r="11" spans="1:6" ht="14.5" thickBot="1">
      <c r="A11" s="7" t="s">
        <v>130</v>
      </c>
      <c r="B11" s="7">
        <v>320</v>
      </c>
    </row>
    <row r="13" spans="1:6" ht="14.5" thickBot="1">
      <c r="A13" t="s">
        <v>131</v>
      </c>
    </row>
    <row r="14" spans="1:6" ht="14.5">
      <c r="A14" s="8"/>
      <c r="B14" s="8" t="s">
        <v>136</v>
      </c>
      <c r="C14" s="8" t="s">
        <v>137</v>
      </c>
      <c r="D14" s="8" t="s">
        <v>138</v>
      </c>
      <c r="E14" s="8" t="s">
        <v>139</v>
      </c>
      <c r="F14" s="8" t="s">
        <v>140</v>
      </c>
    </row>
    <row r="15" spans="1:6">
      <c r="A15" s="6" t="s">
        <v>132</v>
      </c>
      <c r="B15" s="6">
        <v>1</v>
      </c>
      <c r="C15" s="6">
        <v>2529264292982.4736</v>
      </c>
      <c r="D15" s="6">
        <v>2529264292982.4736</v>
      </c>
      <c r="E15" s="6">
        <v>887.84877611276033</v>
      </c>
      <c r="F15" s="6">
        <v>4.7503615090053331E-94</v>
      </c>
    </row>
    <row r="16" spans="1:6">
      <c r="A16" s="6" t="s">
        <v>133</v>
      </c>
      <c r="B16" s="6">
        <v>318</v>
      </c>
      <c r="C16" s="6">
        <v>905904323808.26587</v>
      </c>
      <c r="D16" s="6">
        <v>2848755735.246119</v>
      </c>
      <c r="E16" s="6"/>
      <c r="F16" s="6"/>
    </row>
    <row r="17" spans="1:9" ht="14.5" thickBot="1">
      <c r="A17" s="7" t="s">
        <v>134</v>
      </c>
      <c r="B17" s="7">
        <v>319</v>
      </c>
      <c r="C17" s="7">
        <v>3435168616790.7393</v>
      </c>
      <c r="D17" s="7"/>
      <c r="E17" s="7"/>
      <c r="F17" s="7"/>
    </row>
    <row r="18" spans="1:9" ht="14.5" thickBot="1"/>
    <row r="19" spans="1:9" ht="14.5">
      <c r="A19" s="8"/>
      <c r="B19" s="8" t="s">
        <v>141</v>
      </c>
      <c r="C19" s="8" t="s">
        <v>129</v>
      </c>
      <c r="D19" s="8" t="s">
        <v>142</v>
      </c>
      <c r="E19" s="8" t="s">
        <v>143</v>
      </c>
      <c r="F19" s="8" t="s">
        <v>144</v>
      </c>
      <c r="G19" s="8" t="s">
        <v>145</v>
      </c>
      <c r="H19" s="8" t="s">
        <v>146</v>
      </c>
      <c r="I19" s="8" t="s">
        <v>147</v>
      </c>
    </row>
    <row r="20" spans="1:9">
      <c r="A20" s="6" t="s">
        <v>135</v>
      </c>
      <c r="B20" s="6">
        <v>446410.58293395344</v>
      </c>
      <c r="C20" s="6">
        <v>8407.7382630059928</v>
      </c>
      <c r="D20" s="6">
        <v>53.095204556754318</v>
      </c>
      <c r="E20" s="6">
        <v>4.0862695711507226E-160</v>
      </c>
      <c r="F20" s="6">
        <v>429868.76191129786</v>
      </c>
      <c r="G20" s="6">
        <v>462952.40395660902</v>
      </c>
      <c r="H20" s="6">
        <v>429868.76191129786</v>
      </c>
      <c r="I20" s="6">
        <v>462952.40395660902</v>
      </c>
    </row>
    <row r="21" spans="1:9" ht="14.5" thickBot="1">
      <c r="A21" s="7" t="s">
        <v>5</v>
      </c>
      <c r="B21" s="7">
        <v>35.678031072640458</v>
      </c>
      <c r="C21" s="7">
        <v>1.1973782890340821</v>
      </c>
      <c r="D21" s="7">
        <v>29.796791372776362</v>
      </c>
      <c r="E21" s="7">
        <v>4.7503615090054677E-94</v>
      </c>
      <c r="F21" s="7">
        <v>33.322246825554025</v>
      </c>
      <c r="G21" s="7">
        <v>38.033815319726891</v>
      </c>
      <c r="H21" s="7">
        <v>33.322246825554025</v>
      </c>
      <c r="I21" s="7">
        <v>38.033815319726891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21"/>
  <sheetViews>
    <sheetView workbookViewId="0">
      <selection activeCell="L1" sqref="L1:L1048576"/>
    </sheetView>
  </sheetViews>
  <sheetFormatPr defaultRowHeight="14"/>
  <cols>
    <col min="1" max="13" width="16" customWidth="1"/>
    <col min="14" max="14" width="11.83203125" bestFit="1" customWidth="1"/>
    <col min="15" max="15" width="12.1640625" bestFit="1" customWidth="1"/>
    <col min="16" max="16" width="11.4140625" bestFit="1" customWidth="1"/>
    <col min="17" max="17" width="12.4140625" customWidth="1"/>
    <col min="18" max="18" width="11.08203125" bestFit="1" customWidth="1"/>
    <col min="19" max="19" width="14.4140625" bestFit="1" customWidth="1"/>
  </cols>
  <sheetData>
    <row r="1" spans="1:20" ht="18.649999999999999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/>
    </row>
    <row r="2" spans="1:20">
      <c r="A2" s="2" t="s">
        <v>14</v>
      </c>
      <c r="B2" s="2" t="s">
        <v>15</v>
      </c>
      <c r="C2" s="2" t="s">
        <v>16</v>
      </c>
      <c r="D2" s="2">
        <v>70389.11</v>
      </c>
      <c r="E2" s="2">
        <v>8302</v>
      </c>
      <c r="F2" s="2">
        <v>4.2000000000000003E-2</v>
      </c>
      <c r="G2" s="2">
        <v>17</v>
      </c>
      <c r="H2" s="2">
        <v>75</v>
      </c>
      <c r="I2" s="2">
        <v>5.28</v>
      </c>
      <c r="J2" s="2">
        <v>1</v>
      </c>
      <c r="K2" s="2">
        <v>3.1</v>
      </c>
      <c r="L2" s="2">
        <v>658832.62</v>
      </c>
      <c r="M2" s="2">
        <v>84349.93</v>
      </c>
      <c r="N2">
        <f t="shared" ref="N2:N65" si="0">IF(B2="North",1,0)</f>
        <v>0</v>
      </c>
      <c r="O2">
        <f t="shared" ref="O2:O65" si="1">IF(B2="South",1,0)</f>
        <v>0</v>
      </c>
      <c r="P2">
        <f t="shared" ref="P2:P65" si="2">IF(B2="West",1,0)</f>
        <v>0</v>
      </c>
      <c r="Q2">
        <f t="shared" ref="Q2:Q65" si="3">IF(C2="HighStreet",1,0)</f>
        <v>0</v>
      </c>
      <c r="R2">
        <f t="shared" ref="R2:R65" si="4">IF(C2="Mall",1,0)</f>
        <v>0</v>
      </c>
      <c r="S2">
        <f t="shared" ref="S2:S65" si="5">IF(C2="Residential",1,0)</f>
        <v>1</v>
      </c>
    </row>
    <row r="3" spans="1:20">
      <c r="A3" s="2" t="s">
        <v>14</v>
      </c>
      <c r="B3" s="2" t="s">
        <v>15</v>
      </c>
      <c r="C3" s="2" t="s">
        <v>16</v>
      </c>
      <c r="D3" s="2">
        <v>43827.89</v>
      </c>
      <c r="E3" s="2">
        <v>8487</v>
      </c>
      <c r="F3" s="2">
        <v>0.16800000000000001</v>
      </c>
      <c r="G3" s="2">
        <v>23</v>
      </c>
      <c r="H3" s="2">
        <v>84.4</v>
      </c>
      <c r="I3" s="2">
        <v>4.3099999999999996</v>
      </c>
      <c r="J3" s="2">
        <v>0</v>
      </c>
      <c r="K3" s="2">
        <v>2.8</v>
      </c>
      <c r="L3" s="2">
        <v>634436</v>
      </c>
      <c r="M3" s="2">
        <v>106130.54</v>
      </c>
      <c r="N3">
        <f t="shared" si="0"/>
        <v>0</v>
      </c>
      <c r="O3">
        <f t="shared" si="1"/>
        <v>0</v>
      </c>
      <c r="P3">
        <f t="shared" si="2"/>
        <v>0</v>
      </c>
      <c r="Q3">
        <f t="shared" si="3"/>
        <v>0</v>
      </c>
      <c r="R3">
        <f t="shared" si="4"/>
        <v>0</v>
      </c>
      <c r="S3">
        <f t="shared" si="5"/>
        <v>1</v>
      </c>
    </row>
    <row r="4" spans="1:20">
      <c r="A4" s="2" t="s">
        <v>14</v>
      </c>
      <c r="B4" s="2" t="s">
        <v>15</v>
      </c>
      <c r="C4" s="2" t="s">
        <v>16</v>
      </c>
      <c r="D4" s="2">
        <v>59921.75</v>
      </c>
      <c r="E4" s="2">
        <v>9113</v>
      </c>
      <c r="F4" s="2">
        <v>0.13300000000000001</v>
      </c>
      <c r="G4" s="2">
        <v>20</v>
      </c>
      <c r="H4" s="2">
        <v>88</v>
      </c>
      <c r="I4" s="2">
        <v>12</v>
      </c>
      <c r="J4" s="2">
        <v>0</v>
      </c>
      <c r="K4" s="2">
        <v>3.2</v>
      </c>
      <c r="L4" s="2">
        <v>678722.06</v>
      </c>
      <c r="M4" s="2">
        <v>101883.86</v>
      </c>
      <c r="N4">
        <f t="shared" si="0"/>
        <v>0</v>
      </c>
      <c r="O4">
        <f t="shared" si="1"/>
        <v>0</v>
      </c>
      <c r="P4">
        <f t="shared" si="2"/>
        <v>0</v>
      </c>
      <c r="Q4">
        <f t="shared" si="3"/>
        <v>0</v>
      </c>
      <c r="R4">
        <f t="shared" si="4"/>
        <v>0</v>
      </c>
      <c r="S4">
        <f t="shared" si="5"/>
        <v>1</v>
      </c>
    </row>
    <row r="5" spans="1:20">
      <c r="A5" s="2" t="s">
        <v>14</v>
      </c>
      <c r="B5" s="2" t="s">
        <v>15</v>
      </c>
      <c r="C5" s="2" t="s">
        <v>16</v>
      </c>
      <c r="D5" s="2">
        <v>56856.63</v>
      </c>
      <c r="E5" s="2">
        <v>9431</v>
      </c>
      <c r="F5" s="2">
        <v>0.14199999999999999</v>
      </c>
      <c r="G5" s="2">
        <v>23</v>
      </c>
      <c r="H5" s="2">
        <v>86.9</v>
      </c>
      <c r="I5" s="2">
        <v>4.97</v>
      </c>
      <c r="J5" s="2">
        <v>0</v>
      </c>
      <c r="K5" s="2">
        <v>3.4</v>
      </c>
      <c r="L5" s="2">
        <v>658920.30000000005</v>
      </c>
      <c r="M5" s="2">
        <v>97910.37</v>
      </c>
      <c r="N5">
        <f t="shared" si="0"/>
        <v>0</v>
      </c>
      <c r="O5">
        <f t="shared" si="1"/>
        <v>0</v>
      </c>
      <c r="P5">
        <f t="shared" si="2"/>
        <v>0</v>
      </c>
      <c r="Q5">
        <f t="shared" si="3"/>
        <v>0</v>
      </c>
      <c r="R5">
        <f t="shared" si="4"/>
        <v>0</v>
      </c>
      <c r="S5">
        <f t="shared" si="5"/>
        <v>1</v>
      </c>
    </row>
    <row r="6" spans="1:20">
      <c r="A6" s="2" t="s">
        <v>17</v>
      </c>
      <c r="B6" s="2" t="s">
        <v>15</v>
      </c>
      <c r="C6" s="2" t="s">
        <v>18</v>
      </c>
      <c r="D6" s="2">
        <v>48412.639999999999</v>
      </c>
      <c r="E6" s="2">
        <v>9545</v>
      </c>
      <c r="F6" s="2">
        <v>0.23100000000000001</v>
      </c>
      <c r="G6" s="2">
        <v>21</v>
      </c>
      <c r="H6" s="2">
        <v>97.6</v>
      </c>
      <c r="I6" s="2">
        <v>6.94</v>
      </c>
      <c r="J6" s="2">
        <v>1</v>
      </c>
      <c r="K6" s="2">
        <v>4.2</v>
      </c>
      <c r="L6" s="2">
        <v>741341.44</v>
      </c>
      <c r="M6" s="2">
        <v>119208.17</v>
      </c>
      <c r="N6">
        <f t="shared" si="0"/>
        <v>0</v>
      </c>
      <c r="O6">
        <f t="shared" si="1"/>
        <v>0</v>
      </c>
      <c r="P6">
        <f t="shared" si="2"/>
        <v>0</v>
      </c>
      <c r="Q6">
        <f t="shared" si="3"/>
        <v>0</v>
      </c>
      <c r="R6">
        <f t="shared" si="4"/>
        <v>0</v>
      </c>
      <c r="S6">
        <f t="shared" si="5"/>
        <v>0</v>
      </c>
    </row>
    <row r="7" spans="1:20">
      <c r="A7" s="2" t="s">
        <v>17</v>
      </c>
      <c r="B7" s="2" t="s">
        <v>15</v>
      </c>
      <c r="C7" s="2" t="s">
        <v>18</v>
      </c>
      <c r="D7" s="2">
        <v>64811.21</v>
      </c>
      <c r="E7" s="2">
        <v>9792</v>
      </c>
      <c r="F7" s="2">
        <v>0.112</v>
      </c>
      <c r="G7" s="2">
        <v>20</v>
      </c>
      <c r="H7" s="2">
        <v>84.2</v>
      </c>
      <c r="I7" s="2">
        <v>2.88</v>
      </c>
      <c r="J7" s="2">
        <v>0</v>
      </c>
      <c r="K7" s="2">
        <v>4.2</v>
      </c>
      <c r="L7" s="2">
        <v>761835.34</v>
      </c>
      <c r="M7" s="2">
        <v>149602.23000000001</v>
      </c>
      <c r="N7">
        <f t="shared" si="0"/>
        <v>0</v>
      </c>
      <c r="O7">
        <f t="shared" si="1"/>
        <v>0</v>
      </c>
      <c r="P7">
        <f t="shared" si="2"/>
        <v>0</v>
      </c>
      <c r="Q7">
        <f t="shared" si="3"/>
        <v>0</v>
      </c>
      <c r="R7">
        <f t="shared" si="4"/>
        <v>0</v>
      </c>
      <c r="S7">
        <f t="shared" si="5"/>
        <v>0</v>
      </c>
    </row>
    <row r="8" spans="1:20">
      <c r="A8" s="2" t="s">
        <v>17</v>
      </c>
      <c r="B8" s="2" t="s">
        <v>15</v>
      </c>
      <c r="C8" s="2" t="s">
        <v>18</v>
      </c>
      <c r="D8" s="2">
        <v>46213.45</v>
      </c>
      <c r="E8" s="2">
        <v>10616</v>
      </c>
      <c r="F8" s="2">
        <v>0.122</v>
      </c>
      <c r="G8" s="2">
        <v>22</v>
      </c>
      <c r="H8" s="2">
        <v>85.2</v>
      </c>
      <c r="I8" s="2">
        <v>0.2</v>
      </c>
      <c r="J8" s="2">
        <v>1</v>
      </c>
      <c r="K8" s="2">
        <v>4.0999999999999996</v>
      </c>
      <c r="L8" s="2">
        <v>806615.54</v>
      </c>
      <c r="M8" s="2">
        <v>131364.62</v>
      </c>
      <c r="N8">
        <f t="shared" si="0"/>
        <v>0</v>
      </c>
      <c r="O8">
        <f t="shared" si="1"/>
        <v>0</v>
      </c>
      <c r="P8">
        <f t="shared" si="2"/>
        <v>0</v>
      </c>
      <c r="Q8">
        <f t="shared" si="3"/>
        <v>0</v>
      </c>
      <c r="R8">
        <f t="shared" si="4"/>
        <v>0</v>
      </c>
      <c r="S8">
        <f t="shared" si="5"/>
        <v>0</v>
      </c>
    </row>
    <row r="9" spans="1:20">
      <c r="A9" s="2" t="s">
        <v>17</v>
      </c>
      <c r="B9" s="2" t="s">
        <v>15</v>
      </c>
      <c r="C9" s="2" t="s">
        <v>18</v>
      </c>
      <c r="D9" s="2">
        <v>68148.52</v>
      </c>
      <c r="E9" s="2">
        <v>8567</v>
      </c>
      <c r="F9" s="2">
        <v>0.127</v>
      </c>
      <c r="G9" s="2">
        <v>23</v>
      </c>
      <c r="H9" s="2">
        <v>95.6</v>
      </c>
      <c r="I9" s="2">
        <v>0.8</v>
      </c>
      <c r="J9" s="2">
        <v>0</v>
      </c>
      <c r="K9" s="2">
        <v>3.9</v>
      </c>
      <c r="L9" s="2">
        <v>850164.26</v>
      </c>
      <c r="M9" s="2">
        <v>149262.75</v>
      </c>
      <c r="N9">
        <f t="shared" si="0"/>
        <v>0</v>
      </c>
      <c r="O9">
        <f t="shared" si="1"/>
        <v>0</v>
      </c>
      <c r="P9">
        <f t="shared" si="2"/>
        <v>0</v>
      </c>
      <c r="Q9">
        <f t="shared" si="3"/>
        <v>0</v>
      </c>
      <c r="R9">
        <f t="shared" si="4"/>
        <v>0</v>
      </c>
      <c r="S9">
        <f t="shared" si="5"/>
        <v>0</v>
      </c>
    </row>
    <row r="10" spans="1:20">
      <c r="A10" s="2" t="s">
        <v>19</v>
      </c>
      <c r="B10" s="2" t="s">
        <v>20</v>
      </c>
      <c r="C10" s="2" t="s">
        <v>21</v>
      </c>
      <c r="D10" s="2">
        <v>71838.86</v>
      </c>
      <c r="E10" s="2">
        <v>10979</v>
      </c>
      <c r="F10" s="2">
        <v>0.215</v>
      </c>
      <c r="G10" s="2">
        <v>26</v>
      </c>
      <c r="H10" s="2">
        <v>88.6</v>
      </c>
      <c r="I10" s="2">
        <v>7.7</v>
      </c>
      <c r="J10" s="2">
        <v>1</v>
      </c>
      <c r="K10" s="2">
        <v>3.8</v>
      </c>
      <c r="L10" s="2">
        <v>930581.7</v>
      </c>
      <c r="M10" s="2">
        <v>136207.98000000001</v>
      </c>
      <c r="N10">
        <f t="shared" si="0"/>
        <v>1</v>
      </c>
      <c r="O10">
        <f t="shared" si="1"/>
        <v>0</v>
      </c>
      <c r="P10">
        <f t="shared" si="2"/>
        <v>0</v>
      </c>
      <c r="Q10">
        <f t="shared" si="3"/>
        <v>0</v>
      </c>
      <c r="R10">
        <f t="shared" si="4"/>
        <v>0</v>
      </c>
      <c r="S10">
        <f t="shared" si="5"/>
        <v>0</v>
      </c>
    </row>
    <row r="11" spans="1:20">
      <c r="A11" s="2" t="s">
        <v>19</v>
      </c>
      <c r="B11" s="2" t="s">
        <v>20</v>
      </c>
      <c r="C11" s="2" t="s">
        <v>21</v>
      </c>
      <c r="D11" s="2">
        <v>68133.440000000002</v>
      </c>
      <c r="E11" s="2">
        <v>9459</v>
      </c>
      <c r="F11" s="2">
        <v>0.22</v>
      </c>
      <c r="G11" s="2">
        <v>21</v>
      </c>
      <c r="H11" s="2">
        <v>85</v>
      </c>
      <c r="I11" s="2">
        <v>1.91</v>
      </c>
      <c r="J11" s="2">
        <v>0</v>
      </c>
      <c r="K11" s="2">
        <v>4.2</v>
      </c>
      <c r="L11" s="2">
        <v>779010.94</v>
      </c>
      <c r="M11" s="2">
        <v>106328.09</v>
      </c>
      <c r="N11">
        <f t="shared" si="0"/>
        <v>1</v>
      </c>
      <c r="O11">
        <f t="shared" si="1"/>
        <v>0</v>
      </c>
      <c r="P11">
        <f t="shared" si="2"/>
        <v>0</v>
      </c>
      <c r="Q11">
        <f t="shared" si="3"/>
        <v>0</v>
      </c>
      <c r="R11">
        <f t="shared" si="4"/>
        <v>0</v>
      </c>
      <c r="S11">
        <f t="shared" si="5"/>
        <v>0</v>
      </c>
    </row>
    <row r="12" spans="1:20">
      <c r="A12" s="2" t="s">
        <v>19</v>
      </c>
      <c r="B12" s="2" t="s">
        <v>20</v>
      </c>
      <c r="C12" s="2" t="s">
        <v>21</v>
      </c>
      <c r="D12" s="2">
        <v>34285.21</v>
      </c>
      <c r="E12" s="2">
        <v>9172</v>
      </c>
      <c r="F12" s="2">
        <v>0.21299999999999999</v>
      </c>
      <c r="G12" s="2">
        <v>22</v>
      </c>
      <c r="H12" s="2">
        <v>88.3</v>
      </c>
      <c r="I12" s="2">
        <v>10.46</v>
      </c>
      <c r="J12" s="2">
        <v>1</v>
      </c>
      <c r="K12" s="2">
        <v>3.8</v>
      </c>
      <c r="L12" s="2">
        <v>723060.76</v>
      </c>
      <c r="M12" s="2">
        <v>123131.24</v>
      </c>
      <c r="N12">
        <f t="shared" si="0"/>
        <v>1</v>
      </c>
      <c r="O12">
        <f t="shared" si="1"/>
        <v>0</v>
      </c>
      <c r="P12">
        <f t="shared" si="2"/>
        <v>0</v>
      </c>
      <c r="Q12">
        <f t="shared" si="3"/>
        <v>0</v>
      </c>
      <c r="R12">
        <f t="shared" si="4"/>
        <v>0</v>
      </c>
      <c r="S12">
        <f t="shared" si="5"/>
        <v>0</v>
      </c>
    </row>
    <row r="13" spans="1:20">
      <c r="A13" s="2" t="s">
        <v>19</v>
      </c>
      <c r="B13" s="2" t="s">
        <v>20</v>
      </c>
      <c r="C13" s="2" t="s">
        <v>21</v>
      </c>
      <c r="D13" s="2">
        <v>67979.88</v>
      </c>
      <c r="E13" s="2">
        <v>11230</v>
      </c>
      <c r="F13" s="2">
        <v>2E-3</v>
      </c>
      <c r="G13" s="2">
        <v>28</v>
      </c>
      <c r="H13" s="2">
        <v>85.3</v>
      </c>
      <c r="I13" s="2">
        <v>7.16</v>
      </c>
      <c r="J13" s="2">
        <v>0</v>
      </c>
      <c r="K13" s="2">
        <v>3.8</v>
      </c>
      <c r="L13" s="2">
        <v>910791.94</v>
      </c>
      <c r="M13" s="2">
        <v>158891.28</v>
      </c>
      <c r="N13">
        <f t="shared" si="0"/>
        <v>1</v>
      </c>
      <c r="O13">
        <f t="shared" si="1"/>
        <v>0</v>
      </c>
      <c r="P13">
        <f t="shared" si="2"/>
        <v>0</v>
      </c>
      <c r="Q13">
        <f t="shared" si="3"/>
        <v>0</v>
      </c>
      <c r="R13">
        <f t="shared" si="4"/>
        <v>0</v>
      </c>
      <c r="S13">
        <f t="shared" si="5"/>
        <v>0</v>
      </c>
    </row>
    <row r="14" spans="1:20">
      <c r="A14" s="2" t="s">
        <v>22</v>
      </c>
      <c r="B14" s="2" t="s">
        <v>15</v>
      </c>
      <c r="C14" s="2" t="s">
        <v>16</v>
      </c>
      <c r="D14" s="2">
        <v>71828.259999999995</v>
      </c>
      <c r="E14" s="2">
        <v>12775</v>
      </c>
      <c r="F14" s="2">
        <v>0.11600000000000001</v>
      </c>
      <c r="G14" s="2">
        <v>30</v>
      </c>
      <c r="H14" s="2">
        <v>81.7</v>
      </c>
      <c r="I14" s="2">
        <v>4.24</v>
      </c>
      <c r="J14" s="2">
        <v>1</v>
      </c>
      <c r="K14" s="2">
        <v>4.2</v>
      </c>
      <c r="L14" s="2">
        <v>922168.6</v>
      </c>
      <c r="M14" s="2">
        <v>107494.53</v>
      </c>
      <c r="N14">
        <f t="shared" si="0"/>
        <v>0</v>
      </c>
      <c r="O14">
        <f t="shared" si="1"/>
        <v>0</v>
      </c>
      <c r="P14">
        <f t="shared" si="2"/>
        <v>0</v>
      </c>
      <c r="Q14">
        <f t="shared" si="3"/>
        <v>0</v>
      </c>
      <c r="R14">
        <f t="shared" si="4"/>
        <v>0</v>
      </c>
      <c r="S14">
        <f t="shared" si="5"/>
        <v>1</v>
      </c>
    </row>
    <row r="15" spans="1:20">
      <c r="A15" s="2" t="s">
        <v>22</v>
      </c>
      <c r="B15" s="2" t="s">
        <v>15</v>
      </c>
      <c r="C15" s="2" t="s">
        <v>16</v>
      </c>
      <c r="D15" s="2">
        <v>55716.82</v>
      </c>
      <c r="E15" s="2">
        <v>10054</v>
      </c>
      <c r="F15" s="2">
        <v>0.14599999999999999</v>
      </c>
      <c r="G15" s="2">
        <v>24</v>
      </c>
      <c r="H15" s="2">
        <v>84.9</v>
      </c>
      <c r="I15" s="2">
        <v>1.06</v>
      </c>
      <c r="J15" s="2">
        <v>0</v>
      </c>
      <c r="K15" s="2">
        <v>4.3</v>
      </c>
      <c r="L15" s="2">
        <v>726606.28</v>
      </c>
      <c r="M15" s="2">
        <v>122729.29</v>
      </c>
      <c r="N15">
        <f t="shared" si="0"/>
        <v>0</v>
      </c>
      <c r="O15">
        <f t="shared" si="1"/>
        <v>0</v>
      </c>
      <c r="P15">
        <f t="shared" si="2"/>
        <v>0</v>
      </c>
      <c r="Q15">
        <f t="shared" si="3"/>
        <v>0</v>
      </c>
      <c r="R15">
        <f t="shared" si="4"/>
        <v>0</v>
      </c>
      <c r="S15">
        <f t="shared" si="5"/>
        <v>1</v>
      </c>
    </row>
    <row r="16" spans="1:20">
      <c r="A16" s="2" t="s">
        <v>22</v>
      </c>
      <c r="B16" s="2" t="s">
        <v>15</v>
      </c>
      <c r="C16" s="2" t="s">
        <v>16</v>
      </c>
      <c r="D16" s="2">
        <v>59909.51</v>
      </c>
      <c r="E16" s="2">
        <v>8895</v>
      </c>
      <c r="F16" s="2">
        <v>0.22800000000000001</v>
      </c>
      <c r="G16" s="2">
        <v>23</v>
      </c>
      <c r="H16" s="2">
        <v>88.8</v>
      </c>
      <c r="I16" s="2">
        <v>0.27</v>
      </c>
      <c r="J16" s="2">
        <v>0</v>
      </c>
      <c r="K16" s="2">
        <v>4.3</v>
      </c>
      <c r="L16" s="2">
        <v>746501.09</v>
      </c>
      <c r="M16" s="2">
        <v>136816.72</v>
      </c>
      <c r="N16">
        <f t="shared" si="0"/>
        <v>0</v>
      </c>
      <c r="O16">
        <f t="shared" si="1"/>
        <v>0</v>
      </c>
      <c r="P16">
        <f t="shared" si="2"/>
        <v>0</v>
      </c>
      <c r="Q16">
        <f t="shared" si="3"/>
        <v>0</v>
      </c>
      <c r="R16">
        <f t="shared" si="4"/>
        <v>0</v>
      </c>
      <c r="S16">
        <f t="shared" si="5"/>
        <v>1</v>
      </c>
    </row>
    <row r="17" spans="1:19">
      <c r="A17" s="2" t="s">
        <v>22</v>
      </c>
      <c r="B17" s="2" t="s">
        <v>15</v>
      </c>
      <c r="C17" s="2" t="s">
        <v>16</v>
      </c>
      <c r="D17" s="2">
        <v>75305.710000000006</v>
      </c>
      <c r="E17" s="2">
        <v>10940</v>
      </c>
      <c r="F17" s="2">
        <v>6.0000000000000001E-3</v>
      </c>
      <c r="G17" s="2">
        <v>26</v>
      </c>
      <c r="H17" s="2">
        <v>76.5</v>
      </c>
      <c r="I17" s="2">
        <v>1.32</v>
      </c>
      <c r="J17" s="2">
        <v>0</v>
      </c>
      <c r="K17" s="2">
        <v>4.5</v>
      </c>
      <c r="L17" s="2">
        <v>834017.02</v>
      </c>
      <c r="M17" s="2">
        <v>114745.03</v>
      </c>
      <c r="N17">
        <f t="shared" si="0"/>
        <v>0</v>
      </c>
      <c r="O17">
        <f t="shared" si="1"/>
        <v>0</v>
      </c>
      <c r="P17">
        <f t="shared" si="2"/>
        <v>0</v>
      </c>
      <c r="Q17">
        <f t="shared" si="3"/>
        <v>0</v>
      </c>
      <c r="R17">
        <f t="shared" si="4"/>
        <v>0</v>
      </c>
      <c r="S17">
        <f t="shared" si="5"/>
        <v>1</v>
      </c>
    </row>
    <row r="18" spans="1:19">
      <c r="A18" s="2" t="s">
        <v>23</v>
      </c>
      <c r="B18" s="2" t="s">
        <v>24</v>
      </c>
      <c r="C18" s="2" t="s">
        <v>16</v>
      </c>
      <c r="D18" s="2">
        <v>48804.22</v>
      </c>
      <c r="E18" s="2">
        <v>7057</v>
      </c>
      <c r="F18" s="2">
        <v>5.0000000000000001E-3</v>
      </c>
      <c r="G18" s="2">
        <v>15</v>
      </c>
      <c r="H18" s="2">
        <v>87.7</v>
      </c>
      <c r="I18" s="2">
        <v>1.22</v>
      </c>
      <c r="J18" s="2">
        <v>0</v>
      </c>
      <c r="K18" s="2">
        <v>3.7</v>
      </c>
      <c r="L18" s="2">
        <v>666152.52</v>
      </c>
      <c r="M18" s="2">
        <v>107490.58</v>
      </c>
      <c r="N18">
        <f t="shared" si="0"/>
        <v>0</v>
      </c>
      <c r="O18">
        <f t="shared" si="1"/>
        <v>1</v>
      </c>
      <c r="P18">
        <f t="shared" si="2"/>
        <v>0</v>
      </c>
      <c r="Q18">
        <f t="shared" si="3"/>
        <v>0</v>
      </c>
      <c r="R18">
        <f t="shared" si="4"/>
        <v>0</v>
      </c>
      <c r="S18">
        <f t="shared" si="5"/>
        <v>1</v>
      </c>
    </row>
    <row r="19" spans="1:19">
      <c r="A19" s="2" t="s">
        <v>23</v>
      </c>
      <c r="B19" s="2" t="s">
        <v>24</v>
      </c>
      <c r="C19" s="2" t="s">
        <v>16</v>
      </c>
      <c r="D19" s="2">
        <v>59117.9</v>
      </c>
      <c r="E19" s="2">
        <v>4263</v>
      </c>
      <c r="F19" s="2">
        <v>0.11899999999999999</v>
      </c>
      <c r="G19" s="2">
        <v>9</v>
      </c>
      <c r="H19" s="2">
        <v>87.6</v>
      </c>
      <c r="I19" s="2">
        <v>4.01</v>
      </c>
      <c r="J19" s="2">
        <v>0</v>
      </c>
      <c r="K19" s="2">
        <v>3.6</v>
      </c>
      <c r="L19" s="2">
        <v>573155.18999999994</v>
      </c>
      <c r="M19" s="2">
        <v>83680.75</v>
      </c>
      <c r="N19">
        <f t="shared" si="0"/>
        <v>0</v>
      </c>
      <c r="O19">
        <f t="shared" si="1"/>
        <v>1</v>
      </c>
      <c r="P19">
        <f t="shared" si="2"/>
        <v>0</v>
      </c>
      <c r="Q19">
        <f t="shared" si="3"/>
        <v>0</v>
      </c>
      <c r="R19">
        <f t="shared" si="4"/>
        <v>0</v>
      </c>
      <c r="S19">
        <f t="shared" si="5"/>
        <v>1</v>
      </c>
    </row>
    <row r="20" spans="1:19">
      <c r="A20" s="2" t="s">
        <v>23</v>
      </c>
      <c r="B20" s="2" t="s">
        <v>24</v>
      </c>
      <c r="C20" s="2" t="s">
        <v>16</v>
      </c>
      <c r="D20" s="2">
        <v>78831.12</v>
      </c>
      <c r="E20" s="2">
        <v>5538</v>
      </c>
      <c r="F20" s="2">
        <v>0</v>
      </c>
      <c r="G20" s="2">
        <v>15</v>
      </c>
      <c r="H20" s="2">
        <v>94.1</v>
      </c>
      <c r="I20" s="2">
        <v>0.2</v>
      </c>
      <c r="J20" s="2">
        <v>0</v>
      </c>
      <c r="K20" s="2">
        <v>3.9</v>
      </c>
      <c r="L20" s="2">
        <v>666573.19999999995</v>
      </c>
      <c r="M20" s="2">
        <v>140641.01999999999</v>
      </c>
      <c r="N20">
        <f t="shared" si="0"/>
        <v>0</v>
      </c>
      <c r="O20">
        <f t="shared" si="1"/>
        <v>1</v>
      </c>
      <c r="P20">
        <f t="shared" si="2"/>
        <v>0</v>
      </c>
      <c r="Q20">
        <f t="shared" si="3"/>
        <v>0</v>
      </c>
      <c r="R20">
        <f t="shared" si="4"/>
        <v>0</v>
      </c>
      <c r="S20">
        <f t="shared" si="5"/>
        <v>1</v>
      </c>
    </row>
    <row r="21" spans="1:19">
      <c r="A21" s="2" t="s">
        <v>23</v>
      </c>
      <c r="B21" s="2" t="s">
        <v>24</v>
      </c>
      <c r="C21" s="2" t="s">
        <v>16</v>
      </c>
      <c r="D21" s="2">
        <v>41441.93</v>
      </c>
      <c r="E21" s="2">
        <v>4865</v>
      </c>
      <c r="F21" s="2">
        <v>0.158</v>
      </c>
      <c r="G21" s="2">
        <v>16</v>
      </c>
      <c r="H21" s="2">
        <v>88.3</v>
      </c>
      <c r="I21" s="2">
        <v>0.5</v>
      </c>
      <c r="J21" s="2">
        <v>0</v>
      </c>
      <c r="K21" s="2">
        <v>4</v>
      </c>
      <c r="L21" s="2">
        <v>591619.94999999995</v>
      </c>
      <c r="M21" s="2">
        <v>99521.35</v>
      </c>
      <c r="N21">
        <f t="shared" si="0"/>
        <v>0</v>
      </c>
      <c r="O21">
        <f t="shared" si="1"/>
        <v>1</v>
      </c>
      <c r="P21">
        <f t="shared" si="2"/>
        <v>0</v>
      </c>
      <c r="Q21">
        <f t="shared" si="3"/>
        <v>0</v>
      </c>
      <c r="R21">
        <f t="shared" si="4"/>
        <v>0</v>
      </c>
      <c r="S21">
        <f t="shared" si="5"/>
        <v>1</v>
      </c>
    </row>
    <row r="22" spans="1:19">
      <c r="A22" s="2" t="s">
        <v>25</v>
      </c>
      <c r="B22" s="2" t="s">
        <v>20</v>
      </c>
      <c r="C22" s="2" t="s">
        <v>16</v>
      </c>
      <c r="D22" s="2">
        <v>30356.28</v>
      </c>
      <c r="E22" s="2">
        <v>2822</v>
      </c>
      <c r="F22" s="2">
        <v>0.23100000000000001</v>
      </c>
      <c r="G22" s="2">
        <v>9</v>
      </c>
      <c r="H22" s="2">
        <v>84.8</v>
      </c>
      <c r="I22" s="2">
        <v>6.95</v>
      </c>
      <c r="J22" s="2">
        <v>0</v>
      </c>
      <c r="K22" s="2">
        <v>5</v>
      </c>
      <c r="L22" s="2">
        <v>415721.82</v>
      </c>
      <c r="M22" s="2">
        <v>61179.15</v>
      </c>
      <c r="N22">
        <f t="shared" si="0"/>
        <v>1</v>
      </c>
      <c r="O22">
        <f t="shared" si="1"/>
        <v>0</v>
      </c>
      <c r="P22">
        <f t="shared" si="2"/>
        <v>0</v>
      </c>
      <c r="Q22">
        <f t="shared" si="3"/>
        <v>0</v>
      </c>
      <c r="R22">
        <f t="shared" si="4"/>
        <v>0</v>
      </c>
      <c r="S22">
        <f t="shared" si="5"/>
        <v>1</v>
      </c>
    </row>
    <row r="23" spans="1:19">
      <c r="A23" s="2" t="s">
        <v>25</v>
      </c>
      <c r="B23" s="2" t="s">
        <v>20</v>
      </c>
      <c r="C23" s="2" t="s">
        <v>16</v>
      </c>
      <c r="D23" s="2">
        <v>33518.879999999997</v>
      </c>
      <c r="E23" s="2">
        <v>2121</v>
      </c>
      <c r="F23" s="2">
        <v>0.17599999999999999</v>
      </c>
      <c r="G23" s="2">
        <v>8</v>
      </c>
      <c r="H23" s="2">
        <v>88.5</v>
      </c>
      <c r="I23" s="2">
        <v>0.2</v>
      </c>
      <c r="J23" s="2">
        <v>0</v>
      </c>
      <c r="K23" s="2">
        <v>5</v>
      </c>
      <c r="L23" s="2">
        <v>491905.13</v>
      </c>
      <c r="M23" s="2">
        <v>79212.259999999995</v>
      </c>
      <c r="N23">
        <f t="shared" si="0"/>
        <v>1</v>
      </c>
      <c r="O23">
        <f t="shared" si="1"/>
        <v>0</v>
      </c>
      <c r="P23">
        <f t="shared" si="2"/>
        <v>0</v>
      </c>
      <c r="Q23">
        <f t="shared" si="3"/>
        <v>0</v>
      </c>
      <c r="R23">
        <f t="shared" si="4"/>
        <v>0</v>
      </c>
      <c r="S23">
        <f t="shared" si="5"/>
        <v>1</v>
      </c>
    </row>
    <row r="24" spans="1:19">
      <c r="A24" s="2" t="s">
        <v>25</v>
      </c>
      <c r="B24" s="2" t="s">
        <v>20</v>
      </c>
      <c r="C24" s="2" t="s">
        <v>16</v>
      </c>
      <c r="D24" s="2">
        <v>42267.37</v>
      </c>
      <c r="E24" s="2">
        <v>3364</v>
      </c>
      <c r="F24" s="2">
        <v>0.16</v>
      </c>
      <c r="G24" s="2">
        <v>13</v>
      </c>
      <c r="H24" s="2">
        <v>82</v>
      </c>
      <c r="I24" s="2">
        <v>1.61</v>
      </c>
      <c r="J24" s="2">
        <v>1</v>
      </c>
      <c r="K24" s="2">
        <v>4.5999999999999996</v>
      </c>
      <c r="L24" s="2">
        <v>555929.4</v>
      </c>
      <c r="M24" s="2">
        <v>115201.76</v>
      </c>
      <c r="N24">
        <f t="shared" si="0"/>
        <v>1</v>
      </c>
      <c r="O24">
        <f t="shared" si="1"/>
        <v>0</v>
      </c>
      <c r="P24">
        <f t="shared" si="2"/>
        <v>0</v>
      </c>
      <c r="Q24">
        <f t="shared" si="3"/>
        <v>0</v>
      </c>
      <c r="R24">
        <f t="shared" si="4"/>
        <v>0</v>
      </c>
      <c r="S24">
        <f t="shared" si="5"/>
        <v>1</v>
      </c>
    </row>
    <row r="25" spans="1:19">
      <c r="A25" s="2" t="s">
        <v>25</v>
      </c>
      <c r="B25" s="2" t="s">
        <v>20</v>
      </c>
      <c r="C25" s="2" t="s">
        <v>16</v>
      </c>
      <c r="D25" s="2">
        <v>62060.43</v>
      </c>
      <c r="E25" s="2">
        <v>2613</v>
      </c>
      <c r="F25" s="2">
        <v>0.216</v>
      </c>
      <c r="G25" s="2">
        <v>12</v>
      </c>
      <c r="H25" s="2">
        <v>92.1</v>
      </c>
      <c r="I25" s="2">
        <v>1.55</v>
      </c>
      <c r="J25" s="2">
        <v>0</v>
      </c>
      <c r="K25" s="2">
        <v>4.7</v>
      </c>
      <c r="L25" s="2">
        <v>565810.99</v>
      </c>
      <c r="M25" s="2">
        <v>77825.460000000006</v>
      </c>
      <c r="N25">
        <f t="shared" si="0"/>
        <v>1</v>
      </c>
      <c r="O25">
        <f t="shared" si="1"/>
        <v>0</v>
      </c>
      <c r="P25">
        <f t="shared" si="2"/>
        <v>0</v>
      </c>
      <c r="Q25">
        <f t="shared" si="3"/>
        <v>0</v>
      </c>
      <c r="R25">
        <f t="shared" si="4"/>
        <v>0</v>
      </c>
      <c r="S25">
        <f t="shared" si="5"/>
        <v>1</v>
      </c>
    </row>
    <row r="26" spans="1:19">
      <c r="A26" s="2" t="s">
        <v>26</v>
      </c>
      <c r="B26" s="2" t="s">
        <v>27</v>
      </c>
      <c r="C26" s="2" t="s">
        <v>28</v>
      </c>
      <c r="D26" s="2">
        <v>57696.69</v>
      </c>
      <c r="E26" s="2">
        <v>10218</v>
      </c>
      <c r="F26" s="2">
        <v>0.121</v>
      </c>
      <c r="G26" s="2">
        <v>25</v>
      </c>
      <c r="H26" s="2">
        <v>94.8</v>
      </c>
      <c r="I26" s="2">
        <v>2.99</v>
      </c>
      <c r="J26" s="2">
        <v>0</v>
      </c>
      <c r="K26" s="2">
        <v>3.5</v>
      </c>
      <c r="L26" s="2">
        <v>811771.14</v>
      </c>
      <c r="M26" s="2">
        <v>148756.24</v>
      </c>
      <c r="N26">
        <f t="shared" si="0"/>
        <v>0</v>
      </c>
      <c r="O26">
        <f t="shared" si="1"/>
        <v>0</v>
      </c>
      <c r="P26">
        <f t="shared" si="2"/>
        <v>1</v>
      </c>
      <c r="Q26">
        <f t="shared" si="3"/>
        <v>0</v>
      </c>
      <c r="R26">
        <f t="shared" si="4"/>
        <v>1</v>
      </c>
      <c r="S26">
        <f t="shared" si="5"/>
        <v>0</v>
      </c>
    </row>
    <row r="27" spans="1:19">
      <c r="A27" s="2" t="s">
        <v>26</v>
      </c>
      <c r="B27" s="2" t="s">
        <v>27</v>
      </c>
      <c r="C27" s="2" t="s">
        <v>28</v>
      </c>
      <c r="D27" s="2">
        <v>172415.52</v>
      </c>
      <c r="E27" s="2">
        <v>8927</v>
      </c>
      <c r="F27" s="2">
        <v>0.14000000000000001</v>
      </c>
      <c r="G27" s="2">
        <v>22</v>
      </c>
      <c r="H27" s="2">
        <v>86.2</v>
      </c>
      <c r="I27" s="2">
        <v>7.04</v>
      </c>
      <c r="J27" s="2">
        <v>0</v>
      </c>
      <c r="K27" s="2">
        <v>3.9</v>
      </c>
      <c r="L27" s="2">
        <v>800451.94</v>
      </c>
      <c r="M27" s="2">
        <v>111572.29</v>
      </c>
      <c r="N27">
        <f t="shared" si="0"/>
        <v>0</v>
      </c>
      <c r="O27">
        <f t="shared" si="1"/>
        <v>0</v>
      </c>
      <c r="P27">
        <f t="shared" si="2"/>
        <v>1</v>
      </c>
      <c r="Q27">
        <f t="shared" si="3"/>
        <v>0</v>
      </c>
      <c r="R27">
        <f t="shared" si="4"/>
        <v>1</v>
      </c>
      <c r="S27">
        <f t="shared" si="5"/>
        <v>0</v>
      </c>
    </row>
    <row r="28" spans="1:19">
      <c r="A28" s="2" t="s">
        <v>26</v>
      </c>
      <c r="B28" s="2" t="s">
        <v>27</v>
      </c>
      <c r="C28" s="2" t="s">
        <v>28</v>
      </c>
      <c r="D28" s="2">
        <v>55270.52</v>
      </c>
      <c r="E28" s="2">
        <v>9315</v>
      </c>
      <c r="F28" s="2">
        <v>0.16900000000000001</v>
      </c>
      <c r="G28" s="2">
        <v>23</v>
      </c>
      <c r="H28" s="2">
        <v>91.9</v>
      </c>
      <c r="I28" s="2">
        <v>4.9400000000000004</v>
      </c>
      <c r="J28" s="2">
        <v>0</v>
      </c>
      <c r="K28" s="2">
        <v>4</v>
      </c>
      <c r="L28" s="2">
        <v>783672.82</v>
      </c>
      <c r="M28" s="2">
        <v>112577.14</v>
      </c>
      <c r="N28">
        <f t="shared" si="0"/>
        <v>0</v>
      </c>
      <c r="O28">
        <f t="shared" si="1"/>
        <v>0</v>
      </c>
      <c r="P28">
        <f t="shared" si="2"/>
        <v>1</v>
      </c>
      <c r="Q28">
        <f t="shared" si="3"/>
        <v>0</v>
      </c>
      <c r="R28">
        <f t="shared" si="4"/>
        <v>1</v>
      </c>
      <c r="S28">
        <f t="shared" si="5"/>
        <v>0</v>
      </c>
    </row>
    <row r="29" spans="1:19">
      <c r="A29" s="2" t="s">
        <v>26</v>
      </c>
      <c r="B29" s="2" t="s">
        <v>27</v>
      </c>
      <c r="C29" s="2" t="s">
        <v>28</v>
      </c>
      <c r="D29" s="2">
        <v>52715.1</v>
      </c>
      <c r="E29" s="2">
        <v>7223</v>
      </c>
      <c r="F29" s="2">
        <v>0.122</v>
      </c>
      <c r="G29" s="2">
        <v>16</v>
      </c>
      <c r="H29" s="2">
        <v>84.2</v>
      </c>
      <c r="I29" s="2">
        <v>16.149999999999999</v>
      </c>
      <c r="J29" s="2">
        <v>0</v>
      </c>
      <c r="K29" s="2">
        <v>3.7</v>
      </c>
      <c r="L29" s="2">
        <v>701641.97</v>
      </c>
      <c r="M29" s="2">
        <v>106111.86</v>
      </c>
      <c r="N29">
        <f t="shared" si="0"/>
        <v>0</v>
      </c>
      <c r="O29">
        <f t="shared" si="1"/>
        <v>0</v>
      </c>
      <c r="P29">
        <f t="shared" si="2"/>
        <v>1</v>
      </c>
      <c r="Q29">
        <f t="shared" si="3"/>
        <v>0</v>
      </c>
      <c r="R29">
        <f t="shared" si="4"/>
        <v>1</v>
      </c>
      <c r="S29">
        <f t="shared" si="5"/>
        <v>0</v>
      </c>
    </row>
    <row r="30" spans="1:19">
      <c r="A30" s="2" t="s">
        <v>29</v>
      </c>
      <c r="B30" s="2" t="s">
        <v>15</v>
      </c>
      <c r="C30" s="2" t="s">
        <v>16</v>
      </c>
      <c r="D30" s="2">
        <v>68600.62</v>
      </c>
      <c r="E30" s="2">
        <v>3988</v>
      </c>
      <c r="F30" s="2">
        <v>0.124</v>
      </c>
      <c r="G30" s="2">
        <v>11</v>
      </c>
      <c r="H30" s="2">
        <v>85</v>
      </c>
      <c r="I30" s="2">
        <v>0.48</v>
      </c>
      <c r="J30" s="2">
        <v>0</v>
      </c>
      <c r="K30" s="2">
        <v>3.6</v>
      </c>
      <c r="L30" s="2">
        <v>511844.41</v>
      </c>
      <c r="M30" s="2">
        <v>72774.44</v>
      </c>
      <c r="N30">
        <f t="shared" si="0"/>
        <v>0</v>
      </c>
      <c r="O30">
        <f t="shared" si="1"/>
        <v>0</v>
      </c>
      <c r="P30">
        <f t="shared" si="2"/>
        <v>0</v>
      </c>
      <c r="Q30">
        <f t="shared" si="3"/>
        <v>0</v>
      </c>
      <c r="R30">
        <f t="shared" si="4"/>
        <v>0</v>
      </c>
      <c r="S30">
        <f t="shared" si="5"/>
        <v>1</v>
      </c>
    </row>
    <row r="31" spans="1:19">
      <c r="A31" s="2" t="s">
        <v>29</v>
      </c>
      <c r="B31" s="2" t="s">
        <v>15</v>
      </c>
      <c r="C31" s="2" t="s">
        <v>16</v>
      </c>
      <c r="D31" s="2">
        <v>63176.73</v>
      </c>
      <c r="E31" s="2">
        <v>2390</v>
      </c>
      <c r="F31" s="2">
        <v>0.216</v>
      </c>
      <c r="G31" s="2">
        <v>9</v>
      </c>
      <c r="H31" s="2">
        <v>87.5</v>
      </c>
      <c r="I31" s="2">
        <v>0.31</v>
      </c>
      <c r="J31" s="2">
        <v>0</v>
      </c>
      <c r="K31" s="2">
        <v>3.1</v>
      </c>
      <c r="L31" s="2">
        <v>537383.79</v>
      </c>
      <c r="M31" s="2">
        <v>63773.27</v>
      </c>
      <c r="N31">
        <f t="shared" si="0"/>
        <v>0</v>
      </c>
      <c r="O31">
        <f t="shared" si="1"/>
        <v>0</v>
      </c>
      <c r="P31">
        <f t="shared" si="2"/>
        <v>0</v>
      </c>
      <c r="Q31">
        <f t="shared" si="3"/>
        <v>0</v>
      </c>
      <c r="R31">
        <f t="shared" si="4"/>
        <v>0</v>
      </c>
      <c r="S31">
        <f t="shared" si="5"/>
        <v>1</v>
      </c>
    </row>
    <row r="32" spans="1:19">
      <c r="A32" s="2" t="s">
        <v>29</v>
      </c>
      <c r="B32" s="2" t="s">
        <v>15</v>
      </c>
      <c r="C32" s="2" t="s">
        <v>16</v>
      </c>
      <c r="D32" s="2">
        <v>44970.080000000002</v>
      </c>
      <c r="E32" s="2">
        <v>2471</v>
      </c>
      <c r="F32" s="2">
        <v>0.13600000000000001</v>
      </c>
      <c r="G32" s="2">
        <v>11</v>
      </c>
      <c r="H32" s="2">
        <v>87.6</v>
      </c>
      <c r="I32" s="2">
        <v>3.01</v>
      </c>
      <c r="J32" s="2">
        <v>1</v>
      </c>
      <c r="K32" s="2">
        <v>3.7</v>
      </c>
      <c r="L32" s="2">
        <v>500173.02</v>
      </c>
      <c r="M32" s="2">
        <v>70982.05</v>
      </c>
      <c r="N32">
        <f t="shared" si="0"/>
        <v>0</v>
      </c>
      <c r="O32">
        <f t="shared" si="1"/>
        <v>0</v>
      </c>
      <c r="P32">
        <f t="shared" si="2"/>
        <v>0</v>
      </c>
      <c r="Q32">
        <f t="shared" si="3"/>
        <v>0</v>
      </c>
      <c r="R32">
        <f t="shared" si="4"/>
        <v>0</v>
      </c>
      <c r="S32">
        <f t="shared" si="5"/>
        <v>1</v>
      </c>
    </row>
    <row r="33" spans="1:19">
      <c r="A33" s="2" t="s">
        <v>29</v>
      </c>
      <c r="B33" s="2" t="s">
        <v>15</v>
      </c>
      <c r="C33" s="2" t="s">
        <v>16</v>
      </c>
      <c r="D33" s="2">
        <v>69816.350000000006</v>
      </c>
      <c r="E33" s="2">
        <v>971</v>
      </c>
      <c r="F33" s="2">
        <v>0.16800000000000001</v>
      </c>
      <c r="G33" s="2">
        <v>5</v>
      </c>
      <c r="H33" s="2">
        <v>89.9</v>
      </c>
      <c r="I33" s="2">
        <v>12.15</v>
      </c>
      <c r="J33" s="2">
        <v>0</v>
      </c>
      <c r="K33" s="2">
        <v>3.6</v>
      </c>
      <c r="L33" s="2">
        <v>427917.38</v>
      </c>
      <c r="M33" s="2">
        <v>81824.31</v>
      </c>
      <c r="N33">
        <f t="shared" si="0"/>
        <v>0</v>
      </c>
      <c r="O33">
        <f t="shared" si="1"/>
        <v>0</v>
      </c>
      <c r="P33">
        <f t="shared" si="2"/>
        <v>0</v>
      </c>
      <c r="Q33">
        <f t="shared" si="3"/>
        <v>0</v>
      </c>
      <c r="R33">
        <f t="shared" si="4"/>
        <v>0</v>
      </c>
      <c r="S33">
        <f t="shared" si="5"/>
        <v>1</v>
      </c>
    </row>
    <row r="34" spans="1:19">
      <c r="A34" s="2" t="s">
        <v>30</v>
      </c>
      <c r="B34" s="2" t="s">
        <v>20</v>
      </c>
      <c r="C34" s="2" t="s">
        <v>16</v>
      </c>
      <c r="D34" s="2">
        <v>54597.83</v>
      </c>
      <c r="E34" s="2">
        <v>9429</v>
      </c>
      <c r="F34" s="2">
        <v>0.188</v>
      </c>
      <c r="G34" s="2">
        <v>21</v>
      </c>
      <c r="H34" s="2">
        <v>83.3</v>
      </c>
      <c r="I34" s="2">
        <v>11.71</v>
      </c>
      <c r="J34" s="2">
        <v>0</v>
      </c>
      <c r="K34" s="2">
        <v>4.2</v>
      </c>
      <c r="L34" s="2">
        <v>641865.03</v>
      </c>
      <c r="M34" s="2">
        <v>81342.58</v>
      </c>
      <c r="N34">
        <f t="shared" si="0"/>
        <v>1</v>
      </c>
      <c r="O34">
        <f t="shared" si="1"/>
        <v>0</v>
      </c>
      <c r="P34">
        <f t="shared" si="2"/>
        <v>0</v>
      </c>
      <c r="Q34">
        <f t="shared" si="3"/>
        <v>0</v>
      </c>
      <c r="R34">
        <f t="shared" si="4"/>
        <v>0</v>
      </c>
      <c r="S34">
        <f t="shared" si="5"/>
        <v>1</v>
      </c>
    </row>
    <row r="35" spans="1:19">
      <c r="A35" s="2" t="s">
        <v>30</v>
      </c>
      <c r="B35" s="2" t="s">
        <v>20</v>
      </c>
      <c r="C35" s="2" t="s">
        <v>16</v>
      </c>
      <c r="D35" s="2">
        <v>73771.91</v>
      </c>
      <c r="E35" s="2">
        <v>11695</v>
      </c>
      <c r="F35" s="2">
        <v>7.0000000000000007E-2</v>
      </c>
      <c r="G35" s="2">
        <v>25</v>
      </c>
      <c r="H35" s="2">
        <v>84.7</v>
      </c>
      <c r="I35" s="2">
        <v>0.62</v>
      </c>
      <c r="J35" s="2">
        <v>0</v>
      </c>
      <c r="K35" s="2">
        <v>3.9</v>
      </c>
      <c r="L35" s="2">
        <v>799477.76000000001</v>
      </c>
      <c r="M35" s="2">
        <v>164974.41</v>
      </c>
      <c r="N35">
        <f t="shared" si="0"/>
        <v>1</v>
      </c>
      <c r="O35">
        <f t="shared" si="1"/>
        <v>0</v>
      </c>
      <c r="P35">
        <f t="shared" si="2"/>
        <v>0</v>
      </c>
      <c r="Q35">
        <f t="shared" si="3"/>
        <v>0</v>
      </c>
      <c r="R35">
        <f t="shared" si="4"/>
        <v>0</v>
      </c>
      <c r="S35">
        <f t="shared" si="5"/>
        <v>1</v>
      </c>
    </row>
    <row r="36" spans="1:19">
      <c r="A36" s="2" t="s">
        <v>30</v>
      </c>
      <c r="B36" s="2" t="s">
        <v>20</v>
      </c>
      <c r="C36" s="2" t="s">
        <v>16</v>
      </c>
      <c r="D36" s="2">
        <v>74413.88</v>
      </c>
      <c r="E36" s="2">
        <v>9449</v>
      </c>
      <c r="F36" s="2">
        <v>3.9E-2</v>
      </c>
      <c r="G36" s="2">
        <v>23</v>
      </c>
      <c r="H36" s="2">
        <v>92.1</v>
      </c>
      <c r="I36" s="2">
        <v>2.12</v>
      </c>
      <c r="J36" s="2">
        <v>0</v>
      </c>
      <c r="K36" s="2">
        <v>3.9</v>
      </c>
      <c r="L36" s="2">
        <v>798952.17</v>
      </c>
      <c r="M36" s="2">
        <v>161499.04</v>
      </c>
      <c r="N36">
        <f t="shared" si="0"/>
        <v>1</v>
      </c>
      <c r="O36">
        <f t="shared" si="1"/>
        <v>0</v>
      </c>
      <c r="P36">
        <f t="shared" si="2"/>
        <v>0</v>
      </c>
      <c r="Q36">
        <f t="shared" si="3"/>
        <v>0</v>
      </c>
      <c r="R36">
        <f t="shared" si="4"/>
        <v>0</v>
      </c>
      <c r="S36">
        <f t="shared" si="5"/>
        <v>1</v>
      </c>
    </row>
    <row r="37" spans="1:19">
      <c r="A37" s="2" t="s">
        <v>30</v>
      </c>
      <c r="B37" s="2" t="s">
        <v>20</v>
      </c>
      <c r="C37" s="2" t="s">
        <v>16</v>
      </c>
      <c r="D37" s="2">
        <v>52483.77</v>
      </c>
      <c r="E37" s="2">
        <v>10453</v>
      </c>
      <c r="F37" s="2">
        <v>0.247</v>
      </c>
      <c r="G37" s="2">
        <v>25</v>
      </c>
      <c r="H37" s="2">
        <v>99</v>
      </c>
      <c r="I37" s="2">
        <v>6.31</v>
      </c>
      <c r="J37" s="2">
        <v>0</v>
      </c>
      <c r="K37" s="2">
        <v>3.9</v>
      </c>
      <c r="L37" s="2">
        <v>800979.78</v>
      </c>
      <c r="M37" s="2">
        <v>149242.26999999999</v>
      </c>
      <c r="N37">
        <f t="shared" si="0"/>
        <v>1</v>
      </c>
      <c r="O37">
        <f t="shared" si="1"/>
        <v>0</v>
      </c>
      <c r="P37">
        <f t="shared" si="2"/>
        <v>0</v>
      </c>
      <c r="Q37">
        <f t="shared" si="3"/>
        <v>0</v>
      </c>
      <c r="R37">
        <f t="shared" si="4"/>
        <v>0</v>
      </c>
      <c r="S37">
        <f t="shared" si="5"/>
        <v>1</v>
      </c>
    </row>
    <row r="38" spans="1:19">
      <c r="A38" s="2" t="s">
        <v>31</v>
      </c>
      <c r="B38" s="2" t="s">
        <v>20</v>
      </c>
      <c r="C38" s="2" t="s">
        <v>28</v>
      </c>
      <c r="D38" s="2">
        <v>75269.87</v>
      </c>
      <c r="E38" s="2">
        <v>8838</v>
      </c>
      <c r="F38" s="2">
        <v>9.1999999999999998E-2</v>
      </c>
      <c r="G38" s="2">
        <v>21</v>
      </c>
      <c r="H38" s="2">
        <v>83.1</v>
      </c>
      <c r="I38" s="2">
        <v>9.56</v>
      </c>
      <c r="J38" s="2">
        <v>1</v>
      </c>
      <c r="K38" s="2">
        <v>3.9</v>
      </c>
      <c r="L38" s="2">
        <v>820593.93</v>
      </c>
      <c r="M38" s="2">
        <v>115860.06</v>
      </c>
      <c r="N38">
        <f t="shared" si="0"/>
        <v>1</v>
      </c>
      <c r="O38">
        <f t="shared" si="1"/>
        <v>0</v>
      </c>
      <c r="P38">
        <f t="shared" si="2"/>
        <v>0</v>
      </c>
      <c r="Q38">
        <f t="shared" si="3"/>
        <v>0</v>
      </c>
      <c r="R38">
        <f t="shared" si="4"/>
        <v>1</v>
      </c>
      <c r="S38">
        <f t="shared" si="5"/>
        <v>0</v>
      </c>
    </row>
    <row r="39" spans="1:19">
      <c r="A39" s="2" t="s">
        <v>31</v>
      </c>
      <c r="B39" s="2" t="s">
        <v>20</v>
      </c>
      <c r="C39" s="2" t="s">
        <v>28</v>
      </c>
      <c r="D39" s="2">
        <v>61245.41</v>
      </c>
      <c r="E39" s="2">
        <v>8156</v>
      </c>
      <c r="F39" s="2">
        <v>0.156</v>
      </c>
      <c r="G39" s="2">
        <v>19</v>
      </c>
      <c r="H39" s="2">
        <v>92.9</v>
      </c>
      <c r="I39" s="2">
        <v>9.0500000000000007</v>
      </c>
      <c r="J39" s="2">
        <v>0</v>
      </c>
      <c r="K39" s="2">
        <v>3.9</v>
      </c>
      <c r="L39" s="2">
        <v>718330.53</v>
      </c>
      <c r="M39" s="2">
        <v>93247.9</v>
      </c>
      <c r="N39">
        <f t="shared" si="0"/>
        <v>1</v>
      </c>
      <c r="O39">
        <f t="shared" si="1"/>
        <v>0</v>
      </c>
      <c r="P39">
        <f t="shared" si="2"/>
        <v>0</v>
      </c>
      <c r="Q39">
        <f t="shared" si="3"/>
        <v>0</v>
      </c>
      <c r="R39">
        <f t="shared" si="4"/>
        <v>1</v>
      </c>
      <c r="S39">
        <f t="shared" si="5"/>
        <v>0</v>
      </c>
    </row>
    <row r="40" spans="1:19">
      <c r="A40" s="2" t="s">
        <v>31</v>
      </c>
      <c r="B40" s="2" t="s">
        <v>20</v>
      </c>
      <c r="C40" s="2" t="s">
        <v>28</v>
      </c>
      <c r="D40" s="2">
        <v>93381.26</v>
      </c>
      <c r="E40" s="2">
        <v>7562</v>
      </c>
      <c r="F40" s="2">
        <v>0.19800000000000001</v>
      </c>
      <c r="G40" s="2">
        <v>19</v>
      </c>
      <c r="H40" s="2">
        <v>82.9</v>
      </c>
      <c r="I40" s="2">
        <v>5.05</v>
      </c>
      <c r="J40" s="2">
        <v>0</v>
      </c>
      <c r="K40" s="2">
        <v>3.9</v>
      </c>
      <c r="L40" s="2">
        <v>736633.4</v>
      </c>
      <c r="M40" s="2">
        <v>115654.66</v>
      </c>
      <c r="N40">
        <f t="shared" si="0"/>
        <v>1</v>
      </c>
      <c r="O40">
        <f t="shared" si="1"/>
        <v>0</v>
      </c>
      <c r="P40">
        <f t="shared" si="2"/>
        <v>0</v>
      </c>
      <c r="Q40">
        <f t="shared" si="3"/>
        <v>0</v>
      </c>
      <c r="R40">
        <f t="shared" si="4"/>
        <v>1</v>
      </c>
      <c r="S40">
        <f t="shared" si="5"/>
        <v>0</v>
      </c>
    </row>
    <row r="41" spans="1:19">
      <c r="A41" s="2" t="s">
        <v>31</v>
      </c>
      <c r="B41" s="2" t="s">
        <v>20</v>
      </c>
      <c r="C41" s="2" t="s">
        <v>28</v>
      </c>
      <c r="D41" s="2">
        <v>65012.19</v>
      </c>
      <c r="E41" s="2">
        <v>9598</v>
      </c>
      <c r="F41" s="2">
        <v>8.5000000000000006E-2</v>
      </c>
      <c r="G41" s="2">
        <v>24</v>
      </c>
      <c r="H41" s="2">
        <v>98.3</v>
      </c>
      <c r="I41" s="2">
        <v>0.89</v>
      </c>
      <c r="J41" s="2">
        <v>0</v>
      </c>
      <c r="K41" s="2">
        <v>3.9</v>
      </c>
      <c r="L41" s="2">
        <v>828623.85</v>
      </c>
      <c r="M41" s="2">
        <v>167320.51999999999</v>
      </c>
      <c r="N41">
        <f t="shared" si="0"/>
        <v>1</v>
      </c>
      <c r="O41">
        <f t="shared" si="1"/>
        <v>0</v>
      </c>
      <c r="P41">
        <f t="shared" si="2"/>
        <v>0</v>
      </c>
      <c r="Q41">
        <f t="shared" si="3"/>
        <v>0</v>
      </c>
      <c r="R41">
        <f t="shared" si="4"/>
        <v>1</v>
      </c>
      <c r="S41">
        <f t="shared" si="5"/>
        <v>0</v>
      </c>
    </row>
    <row r="42" spans="1:19">
      <c r="A42" s="2" t="s">
        <v>32</v>
      </c>
      <c r="B42" s="2" t="s">
        <v>15</v>
      </c>
      <c r="C42" s="2" t="s">
        <v>28</v>
      </c>
      <c r="D42" s="2">
        <v>40462.94</v>
      </c>
      <c r="E42" s="2">
        <v>3660</v>
      </c>
      <c r="F42" s="2">
        <v>0.218</v>
      </c>
      <c r="G42" s="2">
        <v>11</v>
      </c>
      <c r="H42" s="2">
        <v>95.2</v>
      </c>
      <c r="I42" s="2">
        <v>5.57</v>
      </c>
      <c r="J42" s="2">
        <v>0</v>
      </c>
      <c r="K42" s="2">
        <v>3.9</v>
      </c>
      <c r="L42" s="2">
        <v>592195.85</v>
      </c>
      <c r="M42" s="2">
        <v>92291.56</v>
      </c>
      <c r="N42">
        <f t="shared" si="0"/>
        <v>0</v>
      </c>
      <c r="O42">
        <f t="shared" si="1"/>
        <v>0</v>
      </c>
      <c r="P42">
        <f t="shared" si="2"/>
        <v>0</v>
      </c>
      <c r="Q42">
        <f t="shared" si="3"/>
        <v>0</v>
      </c>
      <c r="R42">
        <f t="shared" si="4"/>
        <v>1</v>
      </c>
      <c r="S42">
        <f t="shared" si="5"/>
        <v>0</v>
      </c>
    </row>
    <row r="43" spans="1:19">
      <c r="A43" s="2" t="s">
        <v>32</v>
      </c>
      <c r="B43" s="2" t="s">
        <v>15</v>
      </c>
      <c r="C43" s="2" t="s">
        <v>28</v>
      </c>
      <c r="D43" s="2">
        <v>46123.88</v>
      </c>
      <c r="E43" s="2">
        <v>3227</v>
      </c>
      <c r="F43" s="2">
        <v>0.14299999999999999</v>
      </c>
      <c r="G43" s="2">
        <v>10</v>
      </c>
      <c r="H43" s="2">
        <v>75.400000000000006</v>
      </c>
      <c r="I43" s="2">
        <v>1.06</v>
      </c>
      <c r="J43" s="2">
        <v>0</v>
      </c>
      <c r="K43" s="2">
        <v>3.9</v>
      </c>
      <c r="L43" s="2">
        <v>532644.46</v>
      </c>
      <c r="M43" s="2">
        <v>60681.32</v>
      </c>
      <c r="N43">
        <f t="shared" si="0"/>
        <v>0</v>
      </c>
      <c r="O43">
        <f t="shared" si="1"/>
        <v>0</v>
      </c>
      <c r="P43">
        <f t="shared" si="2"/>
        <v>0</v>
      </c>
      <c r="Q43">
        <f t="shared" si="3"/>
        <v>0</v>
      </c>
      <c r="R43">
        <f t="shared" si="4"/>
        <v>1</v>
      </c>
      <c r="S43">
        <f t="shared" si="5"/>
        <v>0</v>
      </c>
    </row>
    <row r="44" spans="1:19">
      <c r="A44" s="2" t="s">
        <v>32</v>
      </c>
      <c r="B44" s="2" t="s">
        <v>15</v>
      </c>
      <c r="C44" s="2" t="s">
        <v>28</v>
      </c>
      <c r="D44" s="2">
        <v>68077.539999999994</v>
      </c>
      <c r="E44" s="2">
        <v>3360</v>
      </c>
      <c r="F44" s="2">
        <v>0.128</v>
      </c>
      <c r="G44" s="2">
        <v>14</v>
      </c>
      <c r="H44" s="2">
        <v>88.2</v>
      </c>
      <c r="I44" s="2">
        <v>1.24</v>
      </c>
      <c r="J44" s="2">
        <v>1</v>
      </c>
      <c r="K44" s="2">
        <v>3.9</v>
      </c>
      <c r="L44" s="2">
        <v>657429.18000000005</v>
      </c>
      <c r="M44" s="2">
        <v>88919.74</v>
      </c>
      <c r="N44">
        <f t="shared" si="0"/>
        <v>0</v>
      </c>
      <c r="O44">
        <f t="shared" si="1"/>
        <v>0</v>
      </c>
      <c r="P44">
        <f t="shared" si="2"/>
        <v>0</v>
      </c>
      <c r="Q44">
        <f t="shared" si="3"/>
        <v>0</v>
      </c>
      <c r="R44">
        <f t="shared" si="4"/>
        <v>1</v>
      </c>
      <c r="S44">
        <f t="shared" si="5"/>
        <v>0</v>
      </c>
    </row>
    <row r="45" spans="1:19">
      <c r="A45" s="2" t="s">
        <v>32</v>
      </c>
      <c r="B45" s="2" t="s">
        <v>15</v>
      </c>
      <c r="C45" s="2" t="s">
        <v>28</v>
      </c>
      <c r="D45" s="2">
        <v>64882.14</v>
      </c>
      <c r="E45" s="2">
        <v>3642</v>
      </c>
      <c r="F45" s="2">
        <v>1.9E-2</v>
      </c>
      <c r="G45" s="2">
        <v>13</v>
      </c>
      <c r="H45" s="2">
        <v>87.8</v>
      </c>
      <c r="I45" s="2">
        <v>4.5199999999999996</v>
      </c>
      <c r="J45" s="2">
        <v>0</v>
      </c>
      <c r="K45" s="2">
        <v>3.9</v>
      </c>
      <c r="L45" s="2">
        <v>605178</v>
      </c>
      <c r="M45" s="2">
        <v>106958.74</v>
      </c>
      <c r="N45">
        <f t="shared" si="0"/>
        <v>0</v>
      </c>
      <c r="O45">
        <f t="shared" si="1"/>
        <v>0</v>
      </c>
      <c r="P45">
        <f t="shared" si="2"/>
        <v>0</v>
      </c>
      <c r="Q45">
        <f t="shared" si="3"/>
        <v>0</v>
      </c>
      <c r="R45">
        <f t="shared" si="4"/>
        <v>1</v>
      </c>
      <c r="S45">
        <f t="shared" si="5"/>
        <v>0</v>
      </c>
    </row>
    <row r="46" spans="1:19">
      <c r="A46" s="2" t="s">
        <v>33</v>
      </c>
      <c r="B46" s="2" t="s">
        <v>27</v>
      </c>
      <c r="C46" s="2" t="s">
        <v>16</v>
      </c>
      <c r="D46" s="2">
        <v>138855.51</v>
      </c>
      <c r="E46" s="2">
        <v>5145</v>
      </c>
      <c r="F46" s="2">
        <v>0.06</v>
      </c>
      <c r="G46" s="2">
        <v>17</v>
      </c>
      <c r="H46" s="2">
        <v>88.2</v>
      </c>
      <c r="I46" s="2">
        <v>9.58</v>
      </c>
      <c r="J46" s="2">
        <v>0</v>
      </c>
      <c r="K46" s="2">
        <v>3.9</v>
      </c>
      <c r="L46" s="2">
        <v>595467.6</v>
      </c>
      <c r="M46" s="2">
        <v>104276.46</v>
      </c>
      <c r="N46">
        <f t="shared" si="0"/>
        <v>0</v>
      </c>
      <c r="O46">
        <f t="shared" si="1"/>
        <v>0</v>
      </c>
      <c r="P46">
        <f t="shared" si="2"/>
        <v>1</v>
      </c>
      <c r="Q46">
        <f t="shared" si="3"/>
        <v>0</v>
      </c>
      <c r="R46">
        <f t="shared" si="4"/>
        <v>0</v>
      </c>
      <c r="S46">
        <f t="shared" si="5"/>
        <v>1</v>
      </c>
    </row>
    <row r="47" spans="1:19">
      <c r="A47" s="2" t="s">
        <v>33</v>
      </c>
      <c r="B47" s="2" t="s">
        <v>27</v>
      </c>
      <c r="C47" s="2" t="s">
        <v>16</v>
      </c>
      <c r="D47" s="2">
        <v>63630.21</v>
      </c>
      <c r="E47" s="2">
        <v>4460</v>
      </c>
      <c r="F47" s="2">
        <v>0.23499999999999999</v>
      </c>
      <c r="G47" s="2">
        <v>14</v>
      </c>
      <c r="H47" s="2">
        <v>98.6</v>
      </c>
      <c r="I47" s="2">
        <v>5.52</v>
      </c>
      <c r="J47" s="2">
        <v>0</v>
      </c>
      <c r="K47" s="2">
        <v>3.9</v>
      </c>
      <c r="L47" s="2">
        <v>599603.4</v>
      </c>
      <c r="M47" s="2">
        <v>112685.12</v>
      </c>
      <c r="N47">
        <f t="shared" si="0"/>
        <v>0</v>
      </c>
      <c r="O47">
        <f t="shared" si="1"/>
        <v>0</v>
      </c>
      <c r="P47">
        <f t="shared" si="2"/>
        <v>1</v>
      </c>
      <c r="Q47">
        <f t="shared" si="3"/>
        <v>0</v>
      </c>
      <c r="R47">
        <f t="shared" si="4"/>
        <v>0</v>
      </c>
      <c r="S47">
        <f t="shared" si="5"/>
        <v>1</v>
      </c>
    </row>
    <row r="48" spans="1:19">
      <c r="A48" s="2" t="s">
        <v>33</v>
      </c>
      <c r="B48" s="2" t="s">
        <v>27</v>
      </c>
      <c r="C48" s="2" t="s">
        <v>16</v>
      </c>
      <c r="D48" s="2">
        <v>50043.65</v>
      </c>
      <c r="E48" s="2">
        <v>3804</v>
      </c>
      <c r="F48" s="2">
        <v>0.113</v>
      </c>
      <c r="G48" s="2">
        <v>11</v>
      </c>
      <c r="H48" s="2">
        <v>90.9</v>
      </c>
      <c r="I48" s="2">
        <v>2.7</v>
      </c>
      <c r="J48" s="2">
        <v>1</v>
      </c>
      <c r="K48" s="2">
        <v>3.9</v>
      </c>
      <c r="L48" s="2">
        <v>614800.09</v>
      </c>
      <c r="M48" s="2">
        <v>100044.2</v>
      </c>
      <c r="N48">
        <f t="shared" si="0"/>
        <v>0</v>
      </c>
      <c r="O48">
        <f t="shared" si="1"/>
        <v>0</v>
      </c>
      <c r="P48">
        <f t="shared" si="2"/>
        <v>1</v>
      </c>
      <c r="Q48">
        <f t="shared" si="3"/>
        <v>0</v>
      </c>
      <c r="R48">
        <f t="shared" si="4"/>
        <v>0</v>
      </c>
      <c r="S48">
        <f t="shared" si="5"/>
        <v>1</v>
      </c>
    </row>
    <row r="49" spans="1:19">
      <c r="A49" s="2" t="s">
        <v>33</v>
      </c>
      <c r="B49" s="2" t="s">
        <v>27</v>
      </c>
      <c r="C49" s="2" t="s">
        <v>16</v>
      </c>
      <c r="D49" s="2">
        <v>42093.84</v>
      </c>
      <c r="E49" s="2">
        <v>4074</v>
      </c>
      <c r="F49" s="2">
        <v>0.155</v>
      </c>
      <c r="G49" s="2">
        <v>15</v>
      </c>
      <c r="H49" s="2">
        <v>88</v>
      </c>
      <c r="I49" s="2">
        <v>9.64</v>
      </c>
      <c r="J49" s="2">
        <v>0</v>
      </c>
      <c r="K49" s="2">
        <v>3.9</v>
      </c>
      <c r="L49" s="2">
        <v>585365.73</v>
      </c>
      <c r="M49" s="2">
        <v>81011.520000000004</v>
      </c>
      <c r="N49">
        <f t="shared" si="0"/>
        <v>0</v>
      </c>
      <c r="O49">
        <f t="shared" si="1"/>
        <v>0</v>
      </c>
      <c r="P49">
        <f t="shared" si="2"/>
        <v>1</v>
      </c>
      <c r="Q49">
        <f t="shared" si="3"/>
        <v>0</v>
      </c>
      <c r="R49">
        <f t="shared" si="4"/>
        <v>0</v>
      </c>
      <c r="S49">
        <f t="shared" si="5"/>
        <v>1</v>
      </c>
    </row>
    <row r="50" spans="1:19">
      <c r="A50" s="2" t="s">
        <v>34</v>
      </c>
      <c r="B50" s="2" t="s">
        <v>20</v>
      </c>
      <c r="C50" s="2" t="s">
        <v>28</v>
      </c>
      <c r="D50" s="2">
        <v>46624.05</v>
      </c>
      <c r="E50" s="2">
        <v>5104</v>
      </c>
      <c r="F50" s="2">
        <v>0.109</v>
      </c>
      <c r="G50" s="2">
        <v>11</v>
      </c>
      <c r="H50" s="2">
        <v>97.3</v>
      </c>
      <c r="I50" s="2">
        <v>3.49</v>
      </c>
      <c r="J50" s="2">
        <v>1</v>
      </c>
      <c r="K50" s="2">
        <v>3.9</v>
      </c>
      <c r="L50" s="2">
        <v>622811.74</v>
      </c>
      <c r="M50" s="2">
        <v>109978.35</v>
      </c>
      <c r="N50">
        <f t="shared" si="0"/>
        <v>1</v>
      </c>
      <c r="O50">
        <f t="shared" si="1"/>
        <v>0</v>
      </c>
      <c r="P50">
        <f t="shared" si="2"/>
        <v>0</v>
      </c>
      <c r="Q50">
        <f t="shared" si="3"/>
        <v>0</v>
      </c>
      <c r="R50">
        <f t="shared" si="4"/>
        <v>1</v>
      </c>
      <c r="S50">
        <f t="shared" si="5"/>
        <v>0</v>
      </c>
    </row>
    <row r="51" spans="1:19">
      <c r="A51" s="2" t="s">
        <v>34</v>
      </c>
      <c r="B51" s="2" t="s">
        <v>20</v>
      </c>
      <c r="C51" s="2" t="s">
        <v>28</v>
      </c>
      <c r="D51" s="2">
        <v>49710.29</v>
      </c>
      <c r="E51" s="2">
        <v>5559</v>
      </c>
      <c r="F51" s="2">
        <v>0.218</v>
      </c>
      <c r="G51" s="2">
        <v>14</v>
      </c>
      <c r="H51" s="2">
        <v>71</v>
      </c>
      <c r="I51" s="2">
        <v>9.11</v>
      </c>
      <c r="J51" s="2">
        <v>0</v>
      </c>
      <c r="K51" s="2">
        <v>3.9</v>
      </c>
      <c r="L51" s="2">
        <v>603297.56999999995</v>
      </c>
      <c r="M51" s="2">
        <v>60592.26</v>
      </c>
      <c r="N51">
        <f t="shared" si="0"/>
        <v>1</v>
      </c>
      <c r="O51">
        <f t="shared" si="1"/>
        <v>0</v>
      </c>
      <c r="P51">
        <f t="shared" si="2"/>
        <v>0</v>
      </c>
      <c r="Q51">
        <f t="shared" si="3"/>
        <v>0</v>
      </c>
      <c r="R51">
        <f t="shared" si="4"/>
        <v>1</v>
      </c>
      <c r="S51">
        <f t="shared" si="5"/>
        <v>0</v>
      </c>
    </row>
    <row r="52" spans="1:19">
      <c r="A52" s="2" t="s">
        <v>34</v>
      </c>
      <c r="B52" s="2" t="s">
        <v>20</v>
      </c>
      <c r="C52" s="2" t="s">
        <v>28</v>
      </c>
      <c r="D52" s="2">
        <v>48287.85</v>
      </c>
      <c r="E52" s="2">
        <v>5150</v>
      </c>
      <c r="F52" s="2">
        <v>8.0000000000000002E-3</v>
      </c>
      <c r="G52" s="2">
        <v>12</v>
      </c>
      <c r="H52" s="2">
        <v>80.400000000000006</v>
      </c>
      <c r="I52" s="2">
        <v>7.4</v>
      </c>
      <c r="J52" s="2">
        <v>0</v>
      </c>
      <c r="K52" s="2">
        <v>3.9</v>
      </c>
      <c r="L52" s="2">
        <v>625672.86</v>
      </c>
      <c r="M52" s="2">
        <v>118020.12</v>
      </c>
      <c r="N52">
        <f t="shared" si="0"/>
        <v>1</v>
      </c>
      <c r="O52">
        <f t="shared" si="1"/>
        <v>0</v>
      </c>
      <c r="P52">
        <f t="shared" si="2"/>
        <v>0</v>
      </c>
      <c r="Q52">
        <f t="shared" si="3"/>
        <v>0</v>
      </c>
      <c r="R52">
        <f t="shared" si="4"/>
        <v>1</v>
      </c>
      <c r="S52">
        <f t="shared" si="5"/>
        <v>0</v>
      </c>
    </row>
    <row r="53" spans="1:19">
      <c r="A53" s="2" t="s">
        <v>34</v>
      </c>
      <c r="B53" s="2" t="s">
        <v>20</v>
      </c>
      <c r="C53" s="2" t="s">
        <v>28</v>
      </c>
      <c r="D53" s="2">
        <v>65312.49</v>
      </c>
      <c r="E53" s="2">
        <v>7189</v>
      </c>
      <c r="F53" s="2">
        <v>0.05</v>
      </c>
      <c r="G53" s="2">
        <v>19</v>
      </c>
      <c r="H53" s="2">
        <v>93.7</v>
      </c>
      <c r="I53" s="2">
        <v>7.16</v>
      </c>
      <c r="J53" s="2">
        <v>0</v>
      </c>
      <c r="K53" s="2">
        <v>3.9</v>
      </c>
      <c r="L53" s="2">
        <v>773815.14</v>
      </c>
      <c r="M53" s="2">
        <v>133948.39000000001</v>
      </c>
      <c r="N53">
        <f t="shared" si="0"/>
        <v>1</v>
      </c>
      <c r="O53">
        <f t="shared" si="1"/>
        <v>0</v>
      </c>
      <c r="P53">
        <f t="shared" si="2"/>
        <v>0</v>
      </c>
      <c r="Q53">
        <f t="shared" si="3"/>
        <v>0</v>
      </c>
      <c r="R53">
        <f t="shared" si="4"/>
        <v>1</v>
      </c>
      <c r="S53">
        <f t="shared" si="5"/>
        <v>0</v>
      </c>
    </row>
    <row r="54" spans="1:19">
      <c r="A54" s="2" t="s">
        <v>35</v>
      </c>
      <c r="B54" s="2" t="s">
        <v>27</v>
      </c>
      <c r="C54" s="2" t="s">
        <v>18</v>
      </c>
      <c r="D54" s="2">
        <v>53015.46</v>
      </c>
      <c r="E54" s="2">
        <v>3279</v>
      </c>
      <c r="F54" s="2">
        <v>8.6999999999999994E-2</v>
      </c>
      <c r="G54" s="2">
        <v>9</v>
      </c>
      <c r="H54" s="2">
        <v>84.3</v>
      </c>
      <c r="I54" s="2">
        <v>22.02</v>
      </c>
      <c r="J54" s="2">
        <v>0</v>
      </c>
      <c r="K54" s="2">
        <v>3.9</v>
      </c>
      <c r="L54" s="2">
        <v>463534.25</v>
      </c>
      <c r="M54" s="2">
        <v>81834.539999999994</v>
      </c>
      <c r="N54">
        <f t="shared" si="0"/>
        <v>0</v>
      </c>
      <c r="O54">
        <f t="shared" si="1"/>
        <v>0</v>
      </c>
      <c r="P54">
        <f t="shared" si="2"/>
        <v>1</v>
      </c>
      <c r="Q54">
        <f t="shared" si="3"/>
        <v>0</v>
      </c>
      <c r="R54">
        <f t="shared" si="4"/>
        <v>0</v>
      </c>
      <c r="S54">
        <f t="shared" si="5"/>
        <v>0</v>
      </c>
    </row>
    <row r="55" spans="1:19">
      <c r="A55" s="2" t="s">
        <v>35</v>
      </c>
      <c r="B55" s="2" t="s">
        <v>27</v>
      </c>
      <c r="C55" s="2" t="s">
        <v>18</v>
      </c>
      <c r="D55" s="2">
        <v>99874.01</v>
      </c>
      <c r="E55" s="2">
        <v>5887</v>
      </c>
      <c r="F55" s="2">
        <v>0.26200000000000001</v>
      </c>
      <c r="G55" s="2">
        <v>14</v>
      </c>
      <c r="H55" s="2">
        <v>88.7</v>
      </c>
      <c r="I55" s="2">
        <v>6.18</v>
      </c>
      <c r="J55" s="2">
        <v>0</v>
      </c>
      <c r="K55" s="2">
        <v>3.9</v>
      </c>
      <c r="L55" s="2">
        <v>746677.75</v>
      </c>
      <c r="M55" s="2">
        <v>122437.84</v>
      </c>
      <c r="N55">
        <f t="shared" si="0"/>
        <v>0</v>
      </c>
      <c r="O55">
        <f t="shared" si="1"/>
        <v>0</v>
      </c>
      <c r="P55">
        <f t="shared" si="2"/>
        <v>1</v>
      </c>
      <c r="Q55">
        <f t="shared" si="3"/>
        <v>0</v>
      </c>
      <c r="R55">
        <f t="shared" si="4"/>
        <v>0</v>
      </c>
      <c r="S55">
        <f t="shared" si="5"/>
        <v>0</v>
      </c>
    </row>
    <row r="56" spans="1:19">
      <c r="A56" s="2" t="s">
        <v>35</v>
      </c>
      <c r="B56" s="2" t="s">
        <v>27</v>
      </c>
      <c r="C56" s="2" t="s">
        <v>18</v>
      </c>
      <c r="D56" s="2">
        <v>81195.5</v>
      </c>
      <c r="E56" s="2">
        <v>5516</v>
      </c>
      <c r="F56" s="2">
        <v>0.106</v>
      </c>
      <c r="G56" s="2">
        <v>14</v>
      </c>
      <c r="H56" s="2">
        <v>88</v>
      </c>
      <c r="I56" s="2">
        <v>1.76</v>
      </c>
      <c r="J56" s="2">
        <v>0</v>
      </c>
      <c r="K56" s="2">
        <v>3.9</v>
      </c>
      <c r="L56" s="2">
        <v>720852.5</v>
      </c>
      <c r="M56" s="2">
        <v>98565.62</v>
      </c>
      <c r="N56">
        <f t="shared" si="0"/>
        <v>0</v>
      </c>
      <c r="O56">
        <f t="shared" si="1"/>
        <v>0</v>
      </c>
      <c r="P56">
        <f t="shared" si="2"/>
        <v>1</v>
      </c>
      <c r="Q56">
        <f t="shared" si="3"/>
        <v>0</v>
      </c>
      <c r="R56">
        <f t="shared" si="4"/>
        <v>0</v>
      </c>
      <c r="S56">
        <f t="shared" si="5"/>
        <v>0</v>
      </c>
    </row>
    <row r="57" spans="1:19">
      <c r="A57" s="2" t="s">
        <v>35</v>
      </c>
      <c r="B57" s="2" t="s">
        <v>27</v>
      </c>
      <c r="C57" s="2" t="s">
        <v>18</v>
      </c>
      <c r="D57" s="2">
        <v>27808.6</v>
      </c>
      <c r="E57" s="2">
        <v>2863</v>
      </c>
      <c r="F57" s="2">
        <v>0.08</v>
      </c>
      <c r="G57" s="2">
        <v>13</v>
      </c>
      <c r="H57" s="2">
        <v>89.3</v>
      </c>
      <c r="I57" s="2">
        <v>0.47</v>
      </c>
      <c r="J57" s="2">
        <v>0</v>
      </c>
      <c r="K57" s="2">
        <v>3.9</v>
      </c>
      <c r="L57" s="2">
        <v>487464.91</v>
      </c>
      <c r="M57" s="2">
        <v>64562.26</v>
      </c>
      <c r="N57">
        <f t="shared" si="0"/>
        <v>0</v>
      </c>
      <c r="O57">
        <f t="shared" si="1"/>
        <v>0</v>
      </c>
      <c r="P57">
        <f t="shared" si="2"/>
        <v>1</v>
      </c>
      <c r="Q57">
        <f t="shared" si="3"/>
        <v>0</v>
      </c>
      <c r="R57">
        <f t="shared" si="4"/>
        <v>0</v>
      </c>
      <c r="S57">
        <f t="shared" si="5"/>
        <v>0</v>
      </c>
    </row>
    <row r="58" spans="1:19">
      <c r="A58" s="2" t="s">
        <v>36</v>
      </c>
      <c r="B58" s="2" t="s">
        <v>15</v>
      </c>
      <c r="C58" s="2" t="s">
        <v>21</v>
      </c>
      <c r="D58" s="2">
        <v>19365.060000000001</v>
      </c>
      <c r="E58" s="2">
        <v>2378</v>
      </c>
      <c r="F58" s="2">
        <v>0</v>
      </c>
      <c r="G58" s="2">
        <v>12</v>
      </c>
      <c r="H58" s="2">
        <v>94.8</v>
      </c>
      <c r="I58" s="2">
        <v>0.2</v>
      </c>
      <c r="J58" s="2">
        <v>0</v>
      </c>
      <c r="K58" s="2">
        <v>3.9</v>
      </c>
      <c r="L58" s="2">
        <v>518049.26</v>
      </c>
      <c r="M58" s="2">
        <v>108592.49</v>
      </c>
      <c r="N58">
        <f t="shared" si="0"/>
        <v>0</v>
      </c>
      <c r="O58">
        <f t="shared" si="1"/>
        <v>0</v>
      </c>
      <c r="P58">
        <f t="shared" si="2"/>
        <v>0</v>
      </c>
      <c r="Q58">
        <f t="shared" si="3"/>
        <v>0</v>
      </c>
      <c r="R58">
        <f t="shared" si="4"/>
        <v>0</v>
      </c>
      <c r="S58">
        <f t="shared" si="5"/>
        <v>0</v>
      </c>
    </row>
    <row r="59" spans="1:19">
      <c r="A59" s="2" t="s">
        <v>36</v>
      </c>
      <c r="B59" s="2" t="s">
        <v>15</v>
      </c>
      <c r="C59" s="2" t="s">
        <v>21</v>
      </c>
      <c r="D59" s="2">
        <v>59405.68</v>
      </c>
      <c r="E59" s="2">
        <v>2515</v>
      </c>
      <c r="F59" s="2">
        <v>3.9E-2</v>
      </c>
      <c r="G59" s="2">
        <v>12</v>
      </c>
      <c r="H59" s="2">
        <v>76</v>
      </c>
      <c r="I59" s="2">
        <v>5.1100000000000003</v>
      </c>
      <c r="J59" s="2">
        <v>0</v>
      </c>
      <c r="K59" s="2">
        <v>3.9</v>
      </c>
      <c r="L59" s="2">
        <v>500298.48</v>
      </c>
      <c r="M59" s="2">
        <v>73461.320000000007</v>
      </c>
      <c r="N59">
        <f t="shared" si="0"/>
        <v>0</v>
      </c>
      <c r="O59">
        <f t="shared" si="1"/>
        <v>0</v>
      </c>
      <c r="P59">
        <f t="shared" si="2"/>
        <v>0</v>
      </c>
      <c r="Q59">
        <f t="shared" si="3"/>
        <v>0</v>
      </c>
      <c r="R59">
        <f t="shared" si="4"/>
        <v>0</v>
      </c>
      <c r="S59">
        <f t="shared" si="5"/>
        <v>0</v>
      </c>
    </row>
    <row r="60" spans="1:19">
      <c r="A60" s="2" t="s">
        <v>36</v>
      </c>
      <c r="B60" s="2" t="s">
        <v>15</v>
      </c>
      <c r="C60" s="2" t="s">
        <v>21</v>
      </c>
      <c r="D60" s="2">
        <v>118910.48</v>
      </c>
      <c r="E60" s="2">
        <v>4022</v>
      </c>
      <c r="F60" s="2">
        <v>0.13700000000000001</v>
      </c>
      <c r="G60" s="2">
        <v>11</v>
      </c>
      <c r="H60" s="2">
        <v>87.1</v>
      </c>
      <c r="I60" s="2">
        <v>0.2</v>
      </c>
      <c r="J60" s="2">
        <v>0</v>
      </c>
      <c r="K60" s="2">
        <v>3.9</v>
      </c>
      <c r="L60" s="2">
        <v>617291.15</v>
      </c>
      <c r="M60" s="2">
        <v>117782</v>
      </c>
      <c r="N60">
        <f t="shared" si="0"/>
        <v>0</v>
      </c>
      <c r="O60">
        <f t="shared" si="1"/>
        <v>0</v>
      </c>
      <c r="P60">
        <f t="shared" si="2"/>
        <v>0</v>
      </c>
      <c r="Q60">
        <f t="shared" si="3"/>
        <v>0</v>
      </c>
      <c r="R60">
        <f t="shared" si="4"/>
        <v>0</v>
      </c>
      <c r="S60">
        <f t="shared" si="5"/>
        <v>0</v>
      </c>
    </row>
    <row r="61" spans="1:19">
      <c r="A61" s="2" t="s">
        <v>36</v>
      </c>
      <c r="B61" s="2" t="s">
        <v>15</v>
      </c>
      <c r="C61" s="2" t="s">
        <v>21</v>
      </c>
      <c r="D61" s="2">
        <v>52952.12</v>
      </c>
      <c r="E61" s="2">
        <v>4377</v>
      </c>
      <c r="F61" s="2">
        <v>9.1999999999999998E-2</v>
      </c>
      <c r="G61" s="2">
        <v>14</v>
      </c>
      <c r="H61" s="2">
        <v>88.6</v>
      </c>
      <c r="I61" s="2">
        <v>13.59</v>
      </c>
      <c r="J61" s="2">
        <v>0</v>
      </c>
      <c r="K61" s="2">
        <v>3.9</v>
      </c>
      <c r="L61" s="2">
        <v>553756.43000000005</v>
      </c>
      <c r="M61" s="2">
        <v>86166.77</v>
      </c>
      <c r="N61">
        <f t="shared" si="0"/>
        <v>0</v>
      </c>
      <c r="O61">
        <f t="shared" si="1"/>
        <v>0</v>
      </c>
      <c r="P61">
        <f t="shared" si="2"/>
        <v>0</v>
      </c>
      <c r="Q61">
        <f t="shared" si="3"/>
        <v>0</v>
      </c>
      <c r="R61">
        <f t="shared" si="4"/>
        <v>0</v>
      </c>
      <c r="S61">
        <f t="shared" si="5"/>
        <v>0</v>
      </c>
    </row>
    <row r="62" spans="1:19">
      <c r="A62" s="2" t="s">
        <v>37</v>
      </c>
      <c r="B62" s="2" t="s">
        <v>24</v>
      </c>
      <c r="C62" s="2" t="s">
        <v>18</v>
      </c>
      <c r="D62" s="2">
        <v>74907.98</v>
      </c>
      <c r="E62" s="2">
        <v>5306</v>
      </c>
      <c r="F62" s="2">
        <v>6.2E-2</v>
      </c>
      <c r="G62" s="2">
        <v>16</v>
      </c>
      <c r="H62" s="2">
        <v>95.6</v>
      </c>
      <c r="I62" s="2">
        <v>1.02</v>
      </c>
      <c r="J62" s="2">
        <v>0</v>
      </c>
      <c r="K62" s="2">
        <v>3.9</v>
      </c>
      <c r="L62" s="2">
        <v>749559.71</v>
      </c>
      <c r="M62" s="2">
        <v>144522.53</v>
      </c>
      <c r="N62">
        <f t="shared" si="0"/>
        <v>0</v>
      </c>
      <c r="O62">
        <f t="shared" si="1"/>
        <v>1</v>
      </c>
      <c r="P62">
        <f t="shared" si="2"/>
        <v>0</v>
      </c>
      <c r="Q62">
        <f t="shared" si="3"/>
        <v>0</v>
      </c>
      <c r="R62">
        <f t="shared" si="4"/>
        <v>0</v>
      </c>
      <c r="S62">
        <f t="shared" si="5"/>
        <v>0</v>
      </c>
    </row>
    <row r="63" spans="1:19">
      <c r="A63" s="2" t="s">
        <v>37</v>
      </c>
      <c r="B63" s="2" t="s">
        <v>24</v>
      </c>
      <c r="C63" s="2" t="s">
        <v>18</v>
      </c>
      <c r="D63" s="2">
        <v>37284.660000000003</v>
      </c>
      <c r="E63" s="2">
        <v>3928</v>
      </c>
      <c r="F63" s="2">
        <v>7.3999999999999996E-2</v>
      </c>
      <c r="G63" s="2">
        <v>12</v>
      </c>
      <c r="H63" s="2">
        <v>86.5</v>
      </c>
      <c r="I63" s="2">
        <v>1.64</v>
      </c>
      <c r="J63" s="2">
        <v>0</v>
      </c>
      <c r="K63" s="2">
        <v>3.9</v>
      </c>
      <c r="L63" s="2">
        <v>615966.48</v>
      </c>
      <c r="M63" s="2">
        <v>91509.38</v>
      </c>
      <c r="N63">
        <f t="shared" si="0"/>
        <v>0</v>
      </c>
      <c r="O63">
        <f t="shared" si="1"/>
        <v>1</v>
      </c>
      <c r="P63">
        <f t="shared" si="2"/>
        <v>0</v>
      </c>
      <c r="Q63">
        <f t="shared" si="3"/>
        <v>0</v>
      </c>
      <c r="R63">
        <f t="shared" si="4"/>
        <v>0</v>
      </c>
      <c r="S63">
        <f t="shared" si="5"/>
        <v>0</v>
      </c>
    </row>
    <row r="64" spans="1:19">
      <c r="A64" s="2" t="s">
        <v>37</v>
      </c>
      <c r="B64" s="2" t="s">
        <v>24</v>
      </c>
      <c r="C64" s="2" t="s">
        <v>18</v>
      </c>
      <c r="D64" s="2">
        <v>50343.19</v>
      </c>
      <c r="E64" s="2">
        <v>3845</v>
      </c>
      <c r="F64" s="2">
        <v>0.113</v>
      </c>
      <c r="G64" s="2">
        <v>9</v>
      </c>
      <c r="H64" s="2">
        <v>88.7</v>
      </c>
      <c r="I64" s="2">
        <v>5.15</v>
      </c>
      <c r="J64" s="2">
        <v>0</v>
      </c>
      <c r="K64" s="2">
        <v>3.9</v>
      </c>
      <c r="L64" s="2">
        <v>572011.19999999995</v>
      </c>
      <c r="M64" s="2">
        <v>101409.68</v>
      </c>
      <c r="N64">
        <f t="shared" si="0"/>
        <v>0</v>
      </c>
      <c r="O64">
        <f t="shared" si="1"/>
        <v>1</v>
      </c>
      <c r="P64">
        <f t="shared" si="2"/>
        <v>0</v>
      </c>
      <c r="Q64">
        <f t="shared" si="3"/>
        <v>0</v>
      </c>
      <c r="R64">
        <f t="shared" si="4"/>
        <v>0</v>
      </c>
      <c r="S64">
        <f t="shared" si="5"/>
        <v>0</v>
      </c>
    </row>
    <row r="65" spans="1:19">
      <c r="A65" s="2" t="s">
        <v>37</v>
      </c>
      <c r="B65" s="2" t="s">
        <v>24</v>
      </c>
      <c r="C65" s="2" t="s">
        <v>18</v>
      </c>
      <c r="D65" s="2">
        <v>74954.47</v>
      </c>
      <c r="E65" s="2">
        <v>6620</v>
      </c>
      <c r="F65" s="2">
        <v>5.3999999999999999E-2</v>
      </c>
      <c r="G65" s="2">
        <v>17</v>
      </c>
      <c r="H65" s="2">
        <v>91.1</v>
      </c>
      <c r="I65" s="2">
        <v>1.1100000000000001</v>
      </c>
      <c r="J65" s="2">
        <v>0</v>
      </c>
      <c r="K65" s="2">
        <v>3.9</v>
      </c>
      <c r="L65" s="2">
        <v>761860.19</v>
      </c>
      <c r="M65" s="2">
        <v>133279.38</v>
      </c>
      <c r="N65">
        <f t="shared" si="0"/>
        <v>0</v>
      </c>
      <c r="O65">
        <f t="shared" si="1"/>
        <v>1</v>
      </c>
      <c r="P65">
        <f t="shared" si="2"/>
        <v>0</v>
      </c>
      <c r="Q65">
        <f t="shared" si="3"/>
        <v>0</v>
      </c>
      <c r="R65">
        <f t="shared" si="4"/>
        <v>0</v>
      </c>
      <c r="S65">
        <f t="shared" si="5"/>
        <v>0</v>
      </c>
    </row>
    <row r="66" spans="1:19">
      <c r="A66" s="2" t="s">
        <v>38</v>
      </c>
      <c r="B66" s="2" t="s">
        <v>27</v>
      </c>
      <c r="C66" s="2" t="s">
        <v>18</v>
      </c>
      <c r="D66" s="2">
        <v>70040.31</v>
      </c>
      <c r="E66" s="2">
        <v>9175</v>
      </c>
      <c r="F66" s="2">
        <v>0.107</v>
      </c>
      <c r="G66" s="2">
        <v>23</v>
      </c>
      <c r="H66" s="2">
        <v>95.1</v>
      </c>
      <c r="I66" s="2">
        <v>6.08</v>
      </c>
      <c r="J66" s="2">
        <v>1</v>
      </c>
      <c r="K66" s="2">
        <v>3.9</v>
      </c>
      <c r="L66" s="2">
        <v>784502.68</v>
      </c>
      <c r="M66" s="2">
        <v>129519.72</v>
      </c>
      <c r="N66">
        <f t="shared" ref="N66:N129" si="6">IF(B66="North",1,0)</f>
        <v>0</v>
      </c>
      <c r="O66">
        <f t="shared" ref="O66:O129" si="7">IF(B66="South",1,0)</f>
        <v>0</v>
      </c>
      <c r="P66">
        <f t="shared" ref="P66:P129" si="8">IF(B66="West",1,0)</f>
        <v>1</v>
      </c>
      <c r="Q66">
        <f t="shared" ref="Q66:Q129" si="9">IF(C66="HighStreet",1,0)</f>
        <v>0</v>
      </c>
      <c r="R66">
        <f t="shared" ref="R66:R129" si="10">IF(C66="Mall",1,0)</f>
        <v>0</v>
      </c>
      <c r="S66">
        <f t="shared" ref="S66:S129" si="11">IF(C66="Residential",1,0)</f>
        <v>0</v>
      </c>
    </row>
    <row r="67" spans="1:19">
      <c r="A67" s="2" t="s">
        <v>38</v>
      </c>
      <c r="B67" s="2" t="s">
        <v>27</v>
      </c>
      <c r="C67" s="2" t="s">
        <v>18</v>
      </c>
      <c r="D67" s="2">
        <v>51148.69</v>
      </c>
      <c r="E67" s="2">
        <v>7940</v>
      </c>
      <c r="F67" s="2">
        <v>0.156</v>
      </c>
      <c r="G67" s="2">
        <v>18</v>
      </c>
      <c r="H67" s="2">
        <v>93.3</v>
      </c>
      <c r="I67" s="2">
        <v>10.91</v>
      </c>
      <c r="J67" s="2">
        <v>0</v>
      </c>
      <c r="K67" s="2">
        <v>3.9</v>
      </c>
      <c r="L67" s="2">
        <v>717141.55</v>
      </c>
      <c r="M67" s="2">
        <v>134013.60999999999</v>
      </c>
      <c r="N67">
        <f t="shared" si="6"/>
        <v>0</v>
      </c>
      <c r="O67">
        <f t="shared" si="7"/>
        <v>0</v>
      </c>
      <c r="P67">
        <f t="shared" si="8"/>
        <v>1</v>
      </c>
      <c r="Q67">
        <f t="shared" si="9"/>
        <v>0</v>
      </c>
      <c r="R67">
        <f t="shared" si="10"/>
        <v>0</v>
      </c>
      <c r="S67">
        <f t="shared" si="11"/>
        <v>0</v>
      </c>
    </row>
    <row r="68" spans="1:19">
      <c r="A68" s="2" t="s">
        <v>38</v>
      </c>
      <c r="B68" s="2" t="s">
        <v>27</v>
      </c>
      <c r="C68" s="2" t="s">
        <v>18</v>
      </c>
      <c r="D68" s="2">
        <v>79346.100000000006</v>
      </c>
      <c r="E68" s="2">
        <v>9628</v>
      </c>
      <c r="F68" s="2">
        <v>0.10199999999999999</v>
      </c>
      <c r="G68" s="2">
        <v>20</v>
      </c>
      <c r="H68" s="2">
        <v>99</v>
      </c>
      <c r="I68" s="2">
        <v>19.010000000000002</v>
      </c>
      <c r="J68" s="2">
        <v>1</v>
      </c>
      <c r="K68" s="2">
        <v>3.9</v>
      </c>
      <c r="L68" s="2">
        <v>685379.08</v>
      </c>
      <c r="M68" s="2">
        <v>106898.82</v>
      </c>
      <c r="N68">
        <f t="shared" si="6"/>
        <v>0</v>
      </c>
      <c r="O68">
        <f t="shared" si="7"/>
        <v>0</v>
      </c>
      <c r="P68">
        <f t="shared" si="8"/>
        <v>1</v>
      </c>
      <c r="Q68">
        <f t="shared" si="9"/>
        <v>0</v>
      </c>
      <c r="R68">
        <f t="shared" si="10"/>
        <v>0</v>
      </c>
      <c r="S68">
        <f t="shared" si="11"/>
        <v>0</v>
      </c>
    </row>
    <row r="69" spans="1:19">
      <c r="A69" s="2" t="s">
        <v>38</v>
      </c>
      <c r="B69" s="2" t="s">
        <v>27</v>
      </c>
      <c r="C69" s="2" t="s">
        <v>18</v>
      </c>
      <c r="D69" s="2">
        <v>42018.400000000001</v>
      </c>
      <c r="E69" s="2">
        <v>8296</v>
      </c>
      <c r="F69" s="2">
        <v>0.115</v>
      </c>
      <c r="G69" s="2">
        <v>17</v>
      </c>
      <c r="H69" s="2">
        <v>91.8</v>
      </c>
      <c r="I69" s="2">
        <v>0.77</v>
      </c>
      <c r="J69" s="2">
        <v>0</v>
      </c>
      <c r="K69" s="2">
        <v>3.9</v>
      </c>
      <c r="L69" s="2">
        <v>740496.65</v>
      </c>
      <c r="M69" s="2">
        <v>128020.9</v>
      </c>
      <c r="N69">
        <f t="shared" si="6"/>
        <v>0</v>
      </c>
      <c r="O69">
        <f t="shared" si="7"/>
        <v>0</v>
      </c>
      <c r="P69">
        <f t="shared" si="8"/>
        <v>1</v>
      </c>
      <c r="Q69">
        <f t="shared" si="9"/>
        <v>0</v>
      </c>
      <c r="R69">
        <f t="shared" si="10"/>
        <v>0</v>
      </c>
      <c r="S69">
        <f t="shared" si="11"/>
        <v>0</v>
      </c>
    </row>
    <row r="70" spans="1:19">
      <c r="A70" s="2" t="s">
        <v>39</v>
      </c>
      <c r="B70" s="2" t="s">
        <v>15</v>
      </c>
      <c r="C70" s="2" t="s">
        <v>18</v>
      </c>
      <c r="D70" s="2">
        <v>70937.240000000005</v>
      </c>
      <c r="E70" s="2">
        <v>3595</v>
      </c>
      <c r="F70" s="2">
        <v>0.14099999999999999</v>
      </c>
      <c r="G70" s="2">
        <v>11</v>
      </c>
      <c r="H70" s="2">
        <v>88.9</v>
      </c>
      <c r="I70" s="2">
        <v>2.83</v>
      </c>
      <c r="J70" s="2">
        <v>1</v>
      </c>
      <c r="K70" s="2">
        <v>3.9</v>
      </c>
      <c r="L70" s="2">
        <v>661927.14</v>
      </c>
      <c r="M70" s="2">
        <v>79218.570000000007</v>
      </c>
      <c r="N70">
        <f t="shared" si="6"/>
        <v>0</v>
      </c>
      <c r="O70">
        <f t="shared" si="7"/>
        <v>0</v>
      </c>
      <c r="P70">
        <f t="shared" si="8"/>
        <v>0</v>
      </c>
      <c r="Q70">
        <f t="shared" si="9"/>
        <v>0</v>
      </c>
      <c r="R70">
        <f t="shared" si="10"/>
        <v>0</v>
      </c>
      <c r="S70">
        <f t="shared" si="11"/>
        <v>0</v>
      </c>
    </row>
    <row r="71" spans="1:19">
      <c r="A71" s="2" t="s">
        <v>39</v>
      </c>
      <c r="B71" s="2" t="s">
        <v>15</v>
      </c>
      <c r="C71" s="2" t="s">
        <v>18</v>
      </c>
      <c r="D71" s="2">
        <v>36813.449999999997</v>
      </c>
      <c r="E71" s="2">
        <v>2834</v>
      </c>
      <c r="F71" s="2">
        <v>0.191</v>
      </c>
      <c r="G71" s="2">
        <v>11</v>
      </c>
      <c r="H71" s="2">
        <v>81.8</v>
      </c>
      <c r="I71" s="2">
        <v>2.33</v>
      </c>
      <c r="J71" s="2">
        <v>0</v>
      </c>
      <c r="K71" s="2">
        <v>3.9</v>
      </c>
      <c r="L71" s="2">
        <v>479050.5</v>
      </c>
      <c r="M71" s="2">
        <v>53651.11</v>
      </c>
      <c r="N71">
        <f t="shared" si="6"/>
        <v>0</v>
      </c>
      <c r="O71">
        <f t="shared" si="7"/>
        <v>0</v>
      </c>
      <c r="P71">
        <f t="shared" si="8"/>
        <v>0</v>
      </c>
      <c r="Q71">
        <f t="shared" si="9"/>
        <v>0</v>
      </c>
      <c r="R71">
        <f t="shared" si="10"/>
        <v>0</v>
      </c>
      <c r="S71">
        <f t="shared" si="11"/>
        <v>0</v>
      </c>
    </row>
    <row r="72" spans="1:19">
      <c r="A72" s="2" t="s">
        <v>39</v>
      </c>
      <c r="B72" s="2" t="s">
        <v>15</v>
      </c>
      <c r="C72" s="2" t="s">
        <v>18</v>
      </c>
      <c r="D72" s="2">
        <v>60571.82</v>
      </c>
      <c r="E72" s="2">
        <v>3193</v>
      </c>
      <c r="F72" s="2">
        <v>0.19700000000000001</v>
      </c>
      <c r="G72" s="2">
        <v>7</v>
      </c>
      <c r="H72" s="2">
        <v>99</v>
      </c>
      <c r="I72" s="2">
        <v>1.43</v>
      </c>
      <c r="J72" s="2">
        <v>0</v>
      </c>
      <c r="K72" s="2">
        <v>3.9</v>
      </c>
      <c r="L72" s="2">
        <v>605023.87</v>
      </c>
      <c r="M72" s="2">
        <v>98545.81</v>
      </c>
      <c r="N72">
        <f t="shared" si="6"/>
        <v>0</v>
      </c>
      <c r="O72">
        <f t="shared" si="7"/>
        <v>0</v>
      </c>
      <c r="P72">
        <f t="shared" si="8"/>
        <v>0</v>
      </c>
      <c r="Q72">
        <f t="shared" si="9"/>
        <v>0</v>
      </c>
      <c r="R72">
        <f t="shared" si="10"/>
        <v>0</v>
      </c>
      <c r="S72">
        <f t="shared" si="11"/>
        <v>0</v>
      </c>
    </row>
    <row r="73" spans="1:19">
      <c r="A73" s="2" t="s">
        <v>39</v>
      </c>
      <c r="B73" s="2" t="s">
        <v>15</v>
      </c>
      <c r="C73" s="2" t="s">
        <v>18</v>
      </c>
      <c r="D73" s="2">
        <v>55081.16</v>
      </c>
      <c r="E73" s="2">
        <v>5485</v>
      </c>
      <c r="F73" s="2">
        <v>3.5999999999999997E-2</v>
      </c>
      <c r="G73" s="2">
        <v>12</v>
      </c>
      <c r="H73" s="2">
        <v>88</v>
      </c>
      <c r="I73" s="2">
        <v>4.01</v>
      </c>
      <c r="J73" s="2">
        <v>0</v>
      </c>
      <c r="K73" s="2">
        <v>3.9</v>
      </c>
      <c r="L73" s="2">
        <v>674774.09</v>
      </c>
      <c r="M73" s="2">
        <v>141917.59</v>
      </c>
      <c r="N73">
        <f t="shared" si="6"/>
        <v>0</v>
      </c>
      <c r="O73">
        <f t="shared" si="7"/>
        <v>0</v>
      </c>
      <c r="P73">
        <f t="shared" si="8"/>
        <v>0</v>
      </c>
      <c r="Q73">
        <f t="shared" si="9"/>
        <v>0</v>
      </c>
      <c r="R73">
        <f t="shared" si="10"/>
        <v>0</v>
      </c>
      <c r="S73">
        <f t="shared" si="11"/>
        <v>0</v>
      </c>
    </row>
    <row r="74" spans="1:19">
      <c r="A74" s="2" t="s">
        <v>40</v>
      </c>
      <c r="B74" s="2" t="s">
        <v>15</v>
      </c>
      <c r="C74" s="2" t="s">
        <v>16</v>
      </c>
      <c r="D74" s="2">
        <v>46201.46</v>
      </c>
      <c r="E74" s="2">
        <v>5918</v>
      </c>
      <c r="F74" s="2">
        <v>0.27700000000000002</v>
      </c>
      <c r="G74" s="2">
        <v>13</v>
      </c>
      <c r="H74" s="2">
        <v>78.8</v>
      </c>
      <c r="I74" s="2">
        <v>4.01</v>
      </c>
      <c r="J74" s="2">
        <v>0</v>
      </c>
      <c r="K74" s="2">
        <v>3.9</v>
      </c>
      <c r="L74" s="2">
        <v>616069.41</v>
      </c>
      <c r="M74" s="2">
        <v>54453.99</v>
      </c>
      <c r="N74">
        <f t="shared" si="6"/>
        <v>0</v>
      </c>
      <c r="O74">
        <f t="shared" si="7"/>
        <v>0</v>
      </c>
      <c r="P74">
        <f t="shared" si="8"/>
        <v>0</v>
      </c>
      <c r="Q74">
        <f t="shared" si="9"/>
        <v>0</v>
      </c>
      <c r="R74">
        <f t="shared" si="10"/>
        <v>0</v>
      </c>
      <c r="S74">
        <f t="shared" si="11"/>
        <v>1</v>
      </c>
    </row>
    <row r="75" spans="1:19">
      <c r="A75" s="2" t="s">
        <v>40</v>
      </c>
      <c r="B75" s="2" t="s">
        <v>15</v>
      </c>
      <c r="C75" s="2" t="s">
        <v>16</v>
      </c>
      <c r="D75" s="2">
        <v>53762.92</v>
      </c>
      <c r="E75" s="2">
        <v>6821</v>
      </c>
      <c r="F75" s="2">
        <v>6.6000000000000003E-2</v>
      </c>
      <c r="G75" s="2">
        <v>19</v>
      </c>
      <c r="H75" s="2">
        <v>94.6</v>
      </c>
      <c r="I75" s="2">
        <v>4.01</v>
      </c>
      <c r="J75" s="2">
        <v>0</v>
      </c>
      <c r="K75" s="2">
        <v>3.9</v>
      </c>
      <c r="L75" s="2">
        <v>630829.93999999994</v>
      </c>
      <c r="M75" s="2">
        <v>117090.02</v>
      </c>
      <c r="N75">
        <f t="shared" si="6"/>
        <v>0</v>
      </c>
      <c r="O75">
        <f t="shared" si="7"/>
        <v>0</v>
      </c>
      <c r="P75">
        <f t="shared" si="8"/>
        <v>0</v>
      </c>
      <c r="Q75">
        <f t="shared" si="9"/>
        <v>0</v>
      </c>
      <c r="R75">
        <f t="shared" si="10"/>
        <v>0</v>
      </c>
      <c r="S75">
        <f t="shared" si="11"/>
        <v>1</v>
      </c>
    </row>
    <row r="76" spans="1:19">
      <c r="A76" s="2" t="s">
        <v>40</v>
      </c>
      <c r="B76" s="2" t="s">
        <v>15</v>
      </c>
      <c r="C76" s="2" t="s">
        <v>16</v>
      </c>
      <c r="D76" s="2">
        <v>70144.78</v>
      </c>
      <c r="E76" s="2">
        <v>6806</v>
      </c>
      <c r="F76" s="2">
        <v>0.17799999999999999</v>
      </c>
      <c r="G76" s="2">
        <v>20</v>
      </c>
      <c r="H76" s="2">
        <v>93.1</v>
      </c>
      <c r="I76" s="2">
        <v>4.01</v>
      </c>
      <c r="J76" s="2">
        <v>1</v>
      </c>
      <c r="K76" s="2">
        <v>3.9</v>
      </c>
      <c r="L76" s="2">
        <v>788087.68</v>
      </c>
      <c r="M76" s="2">
        <v>116803.42</v>
      </c>
      <c r="N76">
        <f t="shared" si="6"/>
        <v>0</v>
      </c>
      <c r="O76">
        <f t="shared" si="7"/>
        <v>0</v>
      </c>
      <c r="P76">
        <f t="shared" si="8"/>
        <v>0</v>
      </c>
      <c r="Q76">
        <f t="shared" si="9"/>
        <v>0</v>
      </c>
      <c r="R76">
        <f t="shared" si="10"/>
        <v>0</v>
      </c>
      <c r="S76">
        <f t="shared" si="11"/>
        <v>1</v>
      </c>
    </row>
    <row r="77" spans="1:19">
      <c r="A77" s="2" t="s">
        <v>40</v>
      </c>
      <c r="B77" s="2" t="s">
        <v>15</v>
      </c>
      <c r="C77" s="2" t="s">
        <v>16</v>
      </c>
      <c r="D77" s="2">
        <v>58749.63</v>
      </c>
      <c r="E77" s="2">
        <v>8252</v>
      </c>
      <c r="F77" s="2">
        <v>0.20300000000000001</v>
      </c>
      <c r="G77" s="2">
        <v>20</v>
      </c>
      <c r="H77" s="2">
        <v>85.2</v>
      </c>
      <c r="I77" s="2">
        <v>4.01</v>
      </c>
      <c r="J77" s="2">
        <v>0</v>
      </c>
      <c r="K77" s="2">
        <v>3.9</v>
      </c>
      <c r="L77" s="2">
        <v>680840.36</v>
      </c>
      <c r="M77" s="2">
        <v>68007.679999999993</v>
      </c>
      <c r="N77">
        <f t="shared" si="6"/>
        <v>0</v>
      </c>
      <c r="O77">
        <f t="shared" si="7"/>
        <v>0</v>
      </c>
      <c r="P77">
        <f t="shared" si="8"/>
        <v>0</v>
      </c>
      <c r="Q77">
        <f t="shared" si="9"/>
        <v>0</v>
      </c>
      <c r="R77">
        <f t="shared" si="10"/>
        <v>0</v>
      </c>
      <c r="S77">
        <f t="shared" si="11"/>
        <v>1</v>
      </c>
    </row>
    <row r="78" spans="1:19">
      <c r="A78" s="2" t="s">
        <v>41</v>
      </c>
      <c r="B78" s="2" t="s">
        <v>24</v>
      </c>
      <c r="C78" s="2" t="s">
        <v>18</v>
      </c>
      <c r="D78" s="2">
        <v>56973.18</v>
      </c>
      <c r="E78" s="2">
        <v>6662</v>
      </c>
      <c r="F78" s="2">
        <v>0.1</v>
      </c>
      <c r="G78" s="2">
        <v>15</v>
      </c>
      <c r="H78" s="2">
        <v>77.7</v>
      </c>
      <c r="I78" s="2">
        <v>4.01</v>
      </c>
      <c r="J78" s="2">
        <v>1</v>
      </c>
      <c r="K78" s="2">
        <v>3.9</v>
      </c>
      <c r="L78" s="2">
        <v>643657.47</v>
      </c>
      <c r="M78" s="2">
        <v>87022.45</v>
      </c>
      <c r="N78">
        <f t="shared" si="6"/>
        <v>0</v>
      </c>
      <c r="O78">
        <f t="shared" si="7"/>
        <v>1</v>
      </c>
      <c r="P78">
        <f t="shared" si="8"/>
        <v>0</v>
      </c>
      <c r="Q78">
        <f t="shared" si="9"/>
        <v>0</v>
      </c>
      <c r="R78">
        <f t="shared" si="10"/>
        <v>0</v>
      </c>
      <c r="S78">
        <f t="shared" si="11"/>
        <v>0</v>
      </c>
    </row>
    <row r="79" spans="1:19">
      <c r="A79" s="2" t="s">
        <v>41</v>
      </c>
      <c r="B79" s="2" t="s">
        <v>24</v>
      </c>
      <c r="C79" s="2" t="s">
        <v>18</v>
      </c>
      <c r="D79" s="2">
        <v>54872.82</v>
      </c>
      <c r="E79" s="2">
        <v>5962</v>
      </c>
      <c r="F79" s="2">
        <v>6.4000000000000001E-2</v>
      </c>
      <c r="G79" s="2">
        <v>12</v>
      </c>
      <c r="H79" s="2">
        <v>85.4</v>
      </c>
      <c r="I79" s="2">
        <v>4.01</v>
      </c>
      <c r="J79" s="2">
        <v>0</v>
      </c>
      <c r="K79" s="2">
        <v>3.9</v>
      </c>
      <c r="L79" s="2">
        <v>691112.6</v>
      </c>
      <c r="M79" s="2">
        <v>109212.83</v>
      </c>
      <c r="N79">
        <f t="shared" si="6"/>
        <v>0</v>
      </c>
      <c r="O79">
        <f t="shared" si="7"/>
        <v>1</v>
      </c>
      <c r="P79">
        <f t="shared" si="8"/>
        <v>0</v>
      </c>
      <c r="Q79">
        <f t="shared" si="9"/>
        <v>0</v>
      </c>
      <c r="R79">
        <f t="shared" si="10"/>
        <v>0</v>
      </c>
      <c r="S79">
        <f t="shared" si="11"/>
        <v>0</v>
      </c>
    </row>
    <row r="80" spans="1:19">
      <c r="A80" s="2" t="s">
        <v>41</v>
      </c>
      <c r="B80" s="2" t="s">
        <v>24</v>
      </c>
      <c r="C80" s="2" t="s">
        <v>18</v>
      </c>
      <c r="D80" s="2">
        <v>80562.81</v>
      </c>
      <c r="E80" s="2">
        <v>7470</v>
      </c>
      <c r="F80" s="2">
        <v>0.17199999999999999</v>
      </c>
      <c r="G80" s="2">
        <v>16</v>
      </c>
      <c r="H80" s="2">
        <v>83.5</v>
      </c>
      <c r="I80" s="2">
        <v>4.01</v>
      </c>
      <c r="J80" s="2">
        <v>0</v>
      </c>
      <c r="K80" s="2">
        <v>3.9</v>
      </c>
      <c r="L80" s="2">
        <v>776922.17</v>
      </c>
      <c r="M80" s="2">
        <v>150701.93</v>
      </c>
      <c r="N80">
        <f t="shared" si="6"/>
        <v>0</v>
      </c>
      <c r="O80">
        <f t="shared" si="7"/>
        <v>1</v>
      </c>
      <c r="P80">
        <f t="shared" si="8"/>
        <v>0</v>
      </c>
      <c r="Q80">
        <f t="shared" si="9"/>
        <v>0</v>
      </c>
      <c r="R80">
        <f t="shared" si="10"/>
        <v>0</v>
      </c>
      <c r="S80">
        <f t="shared" si="11"/>
        <v>0</v>
      </c>
    </row>
    <row r="81" spans="1:19">
      <c r="A81" s="2" t="s">
        <v>41</v>
      </c>
      <c r="B81" s="2" t="s">
        <v>24</v>
      </c>
      <c r="C81" s="2" t="s">
        <v>18</v>
      </c>
      <c r="D81" s="2">
        <v>77999.899999999994</v>
      </c>
      <c r="E81" s="2">
        <v>5974</v>
      </c>
      <c r="F81" s="2">
        <v>0.252</v>
      </c>
      <c r="G81" s="2">
        <v>14</v>
      </c>
      <c r="H81" s="2">
        <v>81.3</v>
      </c>
      <c r="I81" s="2">
        <v>4.01</v>
      </c>
      <c r="J81" s="2">
        <v>0</v>
      </c>
      <c r="K81" s="2">
        <v>3.9</v>
      </c>
      <c r="L81" s="2">
        <v>636561.34</v>
      </c>
      <c r="M81" s="2">
        <v>93861.06</v>
      </c>
      <c r="N81">
        <f t="shared" si="6"/>
        <v>0</v>
      </c>
      <c r="O81">
        <f t="shared" si="7"/>
        <v>1</v>
      </c>
      <c r="P81">
        <f t="shared" si="8"/>
        <v>0</v>
      </c>
      <c r="Q81">
        <f t="shared" si="9"/>
        <v>0</v>
      </c>
      <c r="R81">
        <f t="shared" si="10"/>
        <v>0</v>
      </c>
      <c r="S81">
        <f t="shared" si="11"/>
        <v>0</v>
      </c>
    </row>
    <row r="82" spans="1:19">
      <c r="A82" s="2" t="s">
        <v>42</v>
      </c>
      <c r="B82" s="2" t="s">
        <v>27</v>
      </c>
      <c r="C82" s="2" t="s">
        <v>28</v>
      </c>
      <c r="D82" s="2">
        <v>60881.01</v>
      </c>
      <c r="E82" s="2">
        <v>5410</v>
      </c>
      <c r="F82" s="2">
        <v>0.17899999999999999</v>
      </c>
      <c r="G82" s="2">
        <v>15</v>
      </c>
      <c r="H82" s="2">
        <v>83.9</v>
      </c>
      <c r="I82" s="2">
        <v>4.01</v>
      </c>
      <c r="J82" s="2">
        <v>0</v>
      </c>
      <c r="K82" s="2">
        <v>3.9</v>
      </c>
      <c r="L82" s="2">
        <v>621369.57999999996</v>
      </c>
      <c r="M82" s="2">
        <v>85493.64</v>
      </c>
      <c r="N82">
        <f t="shared" si="6"/>
        <v>0</v>
      </c>
      <c r="O82">
        <f t="shared" si="7"/>
        <v>0</v>
      </c>
      <c r="P82">
        <f t="shared" si="8"/>
        <v>1</v>
      </c>
      <c r="Q82">
        <f t="shared" si="9"/>
        <v>0</v>
      </c>
      <c r="R82">
        <f t="shared" si="10"/>
        <v>1</v>
      </c>
      <c r="S82">
        <f t="shared" si="11"/>
        <v>0</v>
      </c>
    </row>
    <row r="83" spans="1:19">
      <c r="A83" s="2" t="s">
        <v>42</v>
      </c>
      <c r="B83" s="2" t="s">
        <v>27</v>
      </c>
      <c r="C83" s="2" t="s">
        <v>28</v>
      </c>
      <c r="D83" s="2">
        <v>60628.38</v>
      </c>
      <c r="E83" s="2">
        <v>4451</v>
      </c>
      <c r="F83" s="2">
        <v>9.5000000000000001E-2</v>
      </c>
      <c r="G83" s="2">
        <v>10</v>
      </c>
      <c r="H83" s="2">
        <v>89.6</v>
      </c>
      <c r="I83" s="2">
        <v>4.01</v>
      </c>
      <c r="J83" s="2">
        <v>0</v>
      </c>
      <c r="K83" s="2">
        <v>3.9</v>
      </c>
      <c r="L83" s="2">
        <v>682208.01</v>
      </c>
      <c r="M83" s="2">
        <v>110318.84</v>
      </c>
      <c r="N83">
        <f t="shared" si="6"/>
        <v>0</v>
      </c>
      <c r="O83">
        <f t="shared" si="7"/>
        <v>0</v>
      </c>
      <c r="P83">
        <f t="shared" si="8"/>
        <v>1</v>
      </c>
      <c r="Q83">
        <f t="shared" si="9"/>
        <v>0</v>
      </c>
      <c r="R83">
        <f t="shared" si="10"/>
        <v>1</v>
      </c>
      <c r="S83">
        <f t="shared" si="11"/>
        <v>0</v>
      </c>
    </row>
    <row r="84" spans="1:19">
      <c r="A84" s="2" t="s">
        <v>42</v>
      </c>
      <c r="B84" s="2" t="s">
        <v>27</v>
      </c>
      <c r="C84" s="2" t="s">
        <v>28</v>
      </c>
      <c r="D84" s="2">
        <v>72731.14</v>
      </c>
      <c r="E84" s="2">
        <v>4644</v>
      </c>
      <c r="F84" s="2">
        <v>8.4000000000000005E-2</v>
      </c>
      <c r="G84" s="2">
        <v>15</v>
      </c>
      <c r="H84" s="2">
        <v>87.1</v>
      </c>
      <c r="I84" s="2">
        <v>4.01</v>
      </c>
      <c r="J84" s="2">
        <v>0</v>
      </c>
      <c r="K84" s="2">
        <v>3.9</v>
      </c>
      <c r="L84" s="2">
        <v>727241.86</v>
      </c>
      <c r="M84" s="2">
        <v>155810.29999999999</v>
      </c>
      <c r="N84">
        <f t="shared" si="6"/>
        <v>0</v>
      </c>
      <c r="O84">
        <f t="shared" si="7"/>
        <v>0</v>
      </c>
      <c r="P84">
        <f t="shared" si="8"/>
        <v>1</v>
      </c>
      <c r="Q84">
        <f t="shared" si="9"/>
        <v>0</v>
      </c>
      <c r="R84">
        <f t="shared" si="10"/>
        <v>1</v>
      </c>
      <c r="S84">
        <f t="shared" si="11"/>
        <v>0</v>
      </c>
    </row>
    <row r="85" spans="1:19">
      <c r="A85" s="2" t="s">
        <v>42</v>
      </c>
      <c r="B85" s="2" t="s">
        <v>27</v>
      </c>
      <c r="C85" s="2" t="s">
        <v>28</v>
      </c>
      <c r="D85" s="2">
        <v>36475.71</v>
      </c>
      <c r="E85" s="2">
        <v>3559</v>
      </c>
      <c r="F85" s="2">
        <v>0.03</v>
      </c>
      <c r="G85" s="2">
        <v>8</v>
      </c>
      <c r="H85" s="2">
        <v>83.6</v>
      </c>
      <c r="I85" s="2">
        <v>4.01</v>
      </c>
      <c r="J85" s="2">
        <v>0</v>
      </c>
      <c r="K85" s="2">
        <v>3.9</v>
      </c>
      <c r="L85" s="2">
        <v>569100.78</v>
      </c>
      <c r="M85" s="2">
        <v>104808.78</v>
      </c>
      <c r="N85">
        <f t="shared" si="6"/>
        <v>0</v>
      </c>
      <c r="O85">
        <f t="shared" si="7"/>
        <v>0</v>
      </c>
      <c r="P85">
        <f t="shared" si="8"/>
        <v>1</v>
      </c>
      <c r="Q85">
        <f t="shared" si="9"/>
        <v>0</v>
      </c>
      <c r="R85">
        <f t="shared" si="10"/>
        <v>1</v>
      </c>
      <c r="S85">
        <f t="shared" si="11"/>
        <v>0</v>
      </c>
    </row>
    <row r="86" spans="1:19">
      <c r="A86" s="2" t="s">
        <v>43</v>
      </c>
      <c r="B86" s="2" t="s">
        <v>27</v>
      </c>
      <c r="C86" s="2" t="s">
        <v>18</v>
      </c>
      <c r="D86" s="2">
        <v>55388.11</v>
      </c>
      <c r="E86" s="2">
        <v>3091</v>
      </c>
      <c r="F86" s="2">
        <v>0.108</v>
      </c>
      <c r="G86" s="2">
        <v>7</v>
      </c>
      <c r="H86" s="2">
        <v>85.4</v>
      </c>
      <c r="I86" s="2">
        <v>4.01</v>
      </c>
      <c r="J86" s="2">
        <v>0</v>
      </c>
      <c r="K86" s="2">
        <v>3.9</v>
      </c>
      <c r="L86" s="2">
        <v>574436.29</v>
      </c>
      <c r="M86" s="2">
        <v>80271.990000000005</v>
      </c>
      <c r="N86">
        <f t="shared" si="6"/>
        <v>0</v>
      </c>
      <c r="O86">
        <f t="shared" si="7"/>
        <v>0</v>
      </c>
      <c r="P86">
        <f t="shared" si="8"/>
        <v>1</v>
      </c>
      <c r="Q86">
        <f t="shared" si="9"/>
        <v>0</v>
      </c>
      <c r="R86">
        <f t="shared" si="10"/>
        <v>0</v>
      </c>
      <c r="S86">
        <f t="shared" si="11"/>
        <v>0</v>
      </c>
    </row>
    <row r="87" spans="1:19">
      <c r="A87" s="2" t="s">
        <v>43</v>
      </c>
      <c r="B87" s="2" t="s">
        <v>27</v>
      </c>
      <c r="C87" s="2" t="s">
        <v>18</v>
      </c>
      <c r="D87" s="2">
        <v>88443.77</v>
      </c>
      <c r="E87" s="2">
        <v>4004</v>
      </c>
      <c r="F87" s="2">
        <v>0.20599999999999999</v>
      </c>
      <c r="G87" s="2">
        <v>11</v>
      </c>
      <c r="H87" s="2">
        <v>91.9</v>
      </c>
      <c r="I87" s="2">
        <v>4.01</v>
      </c>
      <c r="J87" s="2">
        <v>0</v>
      </c>
      <c r="K87" s="2">
        <v>3.9</v>
      </c>
      <c r="L87" s="2">
        <v>611766.72</v>
      </c>
      <c r="M87" s="2">
        <v>88275.61</v>
      </c>
      <c r="N87">
        <f t="shared" si="6"/>
        <v>0</v>
      </c>
      <c r="O87">
        <f t="shared" si="7"/>
        <v>0</v>
      </c>
      <c r="P87">
        <f t="shared" si="8"/>
        <v>1</v>
      </c>
      <c r="Q87">
        <f t="shared" si="9"/>
        <v>0</v>
      </c>
      <c r="R87">
        <f t="shared" si="10"/>
        <v>0</v>
      </c>
      <c r="S87">
        <f t="shared" si="11"/>
        <v>0</v>
      </c>
    </row>
    <row r="88" spans="1:19">
      <c r="A88" s="2" t="s">
        <v>43</v>
      </c>
      <c r="B88" s="2" t="s">
        <v>27</v>
      </c>
      <c r="C88" s="2" t="s">
        <v>18</v>
      </c>
      <c r="D88" s="2">
        <v>78231.91</v>
      </c>
      <c r="E88" s="2">
        <v>3788</v>
      </c>
      <c r="F88" s="2">
        <v>5.8999999999999997E-2</v>
      </c>
      <c r="G88" s="2">
        <v>11</v>
      </c>
      <c r="H88" s="2">
        <v>88.5</v>
      </c>
      <c r="I88" s="2">
        <v>4.01</v>
      </c>
      <c r="J88" s="2">
        <v>0</v>
      </c>
      <c r="K88" s="2">
        <v>3.9</v>
      </c>
      <c r="L88" s="2">
        <v>614596.31999999995</v>
      </c>
      <c r="M88" s="2">
        <v>131199.41</v>
      </c>
      <c r="N88">
        <f t="shared" si="6"/>
        <v>0</v>
      </c>
      <c r="O88">
        <f t="shared" si="7"/>
        <v>0</v>
      </c>
      <c r="P88">
        <f t="shared" si="8"/>
        <v>1</v>
      </c>
      <c r="Q88">
        <f t="shared" si="9"/>
        <v>0</v>
      </c>
      <c r="R88">
        <f t="shared" si="10"/>
        <v>0</v>
      </c>
      <c r="S88">
        <f t="shared" si="11"/>
        <v>0</v>
      </c>
    </row>
    <row r="89" spans="1:19">
      <c r="A89" s="2" t="s">
        <v>43</v>
      </c>
      <c r="B89" s="2" t="s">
        <v>27</v>
      </c>
      <c r="C89" s="2" t="s">
        <v>18</v>
      </c>
      <c r="D89" s="2">
        <v>18996.32</v>
      </c>
      <c r="E89" s="2">
        <v>1260</v>
      </c>
      <c r="F89" s="2">
        <v>0.14499999999999999</v>
      </c>
      <c r="G89" s="2">
        <v>9</v>
      </c>
      <c r="H89" s="2">
        <v>86.4</v>
      </c>
      <c r="I89" s="2">
        <v>4.01</v>
      </c>
      <c r="J89" s="2">
        <v>0</v>
      </c>
      <c r="K89" s="2">
        <v>3.9</v>
      </c>
      <c r="L89" s="2">
        <v>450711.92</v>
      </c>
      <c r="M89" s="2">
        <v>90043.76</v>
      </c>
      <c r="N89">
        <f t="shared" si="6"/>
        <v>0</v>
      </c>
      <c r="O89">
        <f t="shared" si="7"/>
        <v>0</v>
      </c>
      <c r="P89">
        <f t="shared" si="8"/>
        <v>1</v>
      </c>
      <c r="Q89">
        <f t="shared" si="9"/>
        <v>0</v>
      </c>
      <c r="R89">
        <f t="shared" si="10"/>
        <v>0</v>
      </c>
      <c r="S89">
        <f t="shared" si="11"/>
        <v>0</v>
      </c>
    </row>
    <row r="90" spans="1:19">
      <c r="A90" s="2" t="s">
        <v>44</v>
      </c>
      <c r="B90" s="2" t="s">
        <v>24</v>
      </c>
      <c r="C90" s="2" t="s">
        <v>28</v>
      </c>
      <c r="D90" s="2">
        <v>50517.94</v>
      </c>
      <c r="E90" s="2">
        <v>7024</v>
      </c>
      <c r="F90" s="2">
        <v>2.9000000000000001E-2</v>
      </c>
      <c r="G90" s="2">
        <v>18</v>
      </c>
      <c r="H90" s="2">
        <v>79.2</v>
      </c>
      <c r="I90" s="2">
        <v>4.01</v>
      </c>
      <c r="J90" s="2">
        <v>1</v>
      </c>
      <c r="K90" s="2">
        <v>3.9</v>
      </c>
      <c r="L90" s="2">
        <v>711213.46</v>
      </c>
      <c r="M90" s="2">
        <v>105863.26</v>
      </c>
      <c r="N90">
        <f t="shared" si="6"/>
        <v>0</v>
      </c>
      <c r="O90">
        <f t="shared" si="7"/>
        <v>1</v>
      </c>
      <c r="P90">
        <f t="shared" si="8"/>
        <v>0</v>
      </c>
      <c r="Q90">
        <f t="shared" si="9"/>
        <v>0</v>
      </c>
      <c r="R90">
        <f t="shared" si="10"/>
        <v>1</v>
      </c>
      <c r="S90">
        <f t="shared" si="11"/>
        <v>0</v>
      </c>
    </row>
    <row r="91" spans="1:19">
      <c r="A91" s="2" t="s">
        <v>44</v>
      </c>
      <c r="B91" s="2" t="s">
        <v>24</v>
      </c>
      <c r="C91" s="2" t="s">
        <v>28</v>
      </c>
      <c r="D91" s="2">
        <v>141540.29</v>
      </c>
      <c r="E91" s="2">
        <v>5400</v>
      </c>
      <c r="F91" s="2">
        <v>1.2999999999999999E-2</v>
      </c>
      <c r="G91" s="2">
        <v>12</v>
      </c>
      <c r="H91" s="2">
        <v>87</v>
      </c>
      <c r="I91" s="2">
        <v>4.01</v>
      </c>
      <c r="J91" s="2">
        <v>0</v>
      </c>
      <c r="K91" s="2">
        <v>3.9</v>
      </c>
      <c r="L91" s="2">
        <v>627171.9</v>
      </c>
      <c r="M91" s="2">
        <v>105772.75</v>
      </c>
      <c r="N91">
        <f t="shared" si="6"/>
        <v>0</v>
      </c>
      <c r="O91">
        <f t="shared" si="7"/>
        <v>1</v>
      </c>
      <c r="P91">
        <f t="shared" si="8"/>
        <v>0</v>
      </c>
      <c r="Q91">
        <f t="shared" si="9"/>
        <v>0</v>
      </c>
      <c r="R91">
        <f t="shared" si="10"/>
        <v>1</v>
      </c>
      <c r="S91">
        <f t="shared" si="11"/>
        <v>0</v>
      </c>
    </row>
    <row r="92" spans="1:19">
      <c r="A92" s="2" t="s">
        <v>44</v>
      </c>
      <c r="B92" s="2" t="s">
        <v>24</v>
      </c>
      <c r="C92" s="2" t="s">
        <v>28</v>
      </c>
      <c r="D92" s="2">
        <v>82116.19</v>
      </c>
      <c r="E92" s="2">
        <v>5988</v>
      </c>
      <c r="F92" s="2">
        <v>0.04</v>
      </c>
      <c r="G92" s="2">
        <v>17</v>
      </c>
      <c r="H92" s="2">
        <v>91.8</v>
      </c>
      <c r="I92" s="2">
        <v>4.01</v>
      </c>
      <c r="J92" s="2">
        <v>0</v>
      </c>
      <c r="K92" s="2">
        <v>3.9</v>
      </c>
      <c r="L92" s="2">
        <v>739852.58</v>
      </c>
      <c r="M92" s="2">
        <v>129386.43</v>
      </c>
      <c r="N92">
        <f t="shared" si="6"/>
        <v>0</v>
      </c>
      <c r="O92">
        <f t="shared" si="7"/>
        <v>1</v>
      </c>
      <c r="P92">
        <f t="shared" si="8"/>
        <v>0</v>
      </c>
      <c r="Q92">
        <f t="shared" si="9"/>
        <v>0</v>
      </c>
      <c r="R92">
        <f t="shared" si="10"/>
        <v>1</v>
      </c>
      <c r="S92">
        <f t="shared" si="11"/>
        <v>0</v>
      </c>
    </row>
    <row r="93" spans="1:19">
      <c r="A93" s="2" t="s">
        <v>44</v>
      </c>
      <c r="B93" s="2" t="s">
        <v>24</v>
      </c>
      <c r="C93" s="2" t="s">
        <v>28</v>
      </c>
      <c r="D93" s="2">
        <v>31207.51</v>
      </c>
      <c r="E93" s="2">
        <v>3701</v>
      </c>
      <c r="F93" s="2">
        <v>4.2999999999999997E-2</v>
      </c>
      <c r="G93" s="2">
        <v>11</v>
      </c>
      <c r="H93" s="2">
        <v>84.7</v>
      </c>
      <c r="I93" s="2">
        <v>4.01</v>
      </c>
      <c r="J93" s="2">
        <v>0</v>
      </c>
      <c r="K93" s="2">
        <v>3.9</v>
      </c>
      <c r="L93" s="2">
        <v>586307.22</v>
      </c>
      <c r="M93" s="2">
        <v>73927.850000000006</v>
      </c>
      <c r="N93">
        <f t="shared" si="6"/>
        <v>0</v>
      </c>
      <c r="O93">
        <f t="shared" si="7"/>
        <v>1</v>
      </c>
      <c r="P93">
        <f t="shared" si="8"/>
        <v>0</v>
      </c>
      <c r="Q93">
        <f t="shared" si="9"/>
        <v>0</v>
      </c>
      <c r="R93">
        <f t="shared" si="10"/>
        <v>1</v>
      </c>
      <c r="S93">
        <f t="shared" si="11"/>
        <v>0</v>
      </c>
    </row>
    <row r="94" spans="1:19">
      <c r="A94" s="2" t="s">
        <v>45</v>
      </c>
      <c r="B94" s="2" t="s">
        <v>27</v>
      </c>
      <c r="C94" s="2" t="s">
        <v>16</v>
      </c>
      <c r="D94" s="2">
        <v>38966.589999999997</v>
      </c>
      <c r="E94" s="2">
        <v>4509</v>
      </c>
      <c r="F94" s="2">
        <v>0.19400000000000001</v>
      </c>
      <c r="G94" s="2">
        <v>14</v>
      </c>
      <c r="H94" s="2">
        <v>91.1</v>
      </c>
      <c r="I94" s="2">
        <v>4.01</v>
      </c>
      <c r="J94" s="2">
        <v>0</v>
      </c>
      <c r="K94" s="2">
        <v>3.9</v>
      </c>
      <c r="L94" s="2">
        <v>585937.48</v>
      </c>
      <c r="M94" s="2">
        <v>82624.2</v>
      </c>
      <c r="N94">
        <f t="shared" si="6"/>
        <v>0</v>
      </c>
      <c r="O94">
        <f t="shared" si="7"/>
        <v>0</v>
      </c>
      <c r="P94">
        <f t="shared" si="8"/>
        <v>1</v>
      </c>
      <c r="Q94">
        <f t="shared" si="9"/>
        <v>0</v>
      </c>
      <c r="R94">
        <f t="shared" si="10"/>
        <v>0</v>
      </c>
      <c r="S94">
        <f t="shared" si="11"/>
        <v>1</v>
      </c>
    </row>
    <row r="95" spans="1:19">
      <c r="A95" s="2" t="s">
        <v>45</v>
      </c>
      <c r="B95" s="2" t="s">
        <v>27</v>
      </c>
      <c r="C95" s="2" t="s">
        <v>16</v>
      </c>
      <c r="D95" s="2">
        <v>67439.3</v>
      </c>
      <c r="E95" s="2">
        <v>6477</v>
      </c>
      <c r="F95" s="2">
        <v>0</v>
      </c>
      <c r="G95" s="2">
        <v>16</v>
      </c>
      <c r="H95" s="2">
        <v>90.9</v>
      </c>
      <c r="I95" s="2">
        <v>4.01</v>
      </c>
      <c r="J95" s="2">
        <v>0</v>
      </c>
      <c r="K95" s="2">
        <v>3.9</v>
      </c>
      <c r="L95" s="2">
        <v>753473.55</v>
      </c>
      <c r="M95" s="2">
        <v>151527.22</v>
      </c>
      <c r="N95">
        <f t="shared" si="6"/>
        <v>0</v>
      </c>
      <c r="O95">
        <f t="shared" si="7"/>
        <v>0</v>
      </c>
      <c r="P95">
        <f t="shared" si="8"/>
        <v>1</v>
      </c>
      <c r="Q95">
        <f t="shared" si="9"/>
        <v>0</v>
      </c>
      <c r="R95">
        <f t="shared" si="10"/>
        <v>0</v>
      </c>
      <c r="S95">
        <f t="shared" si="11"/>
        <v>1</v>
      </c>
    </row>
    <row r="96" spans="1:19">
      <c r="A96" s="2" t="s">
        <v>45</v>
      </c>
      <c r="B96" s="2" t="s">
        <v>27</v>
      </c>
      <c r="C96" s="2" t="s">
        <v>16</v>
      </c>
      <c r="D96" s="2">
        <v>86421.88</v>
      </c>
      <c r="E96" s="2">
        <v>7970</v>
      </c>
      <c r="F96" s="2">
        <v>7.2999999999999995E-2</v>
      </c>
      <c r="G96" s="2">
        <v>17</v>
      </c>
      <c r="H96" s="2">
        <v>91.3</v>
      </c>
      <c r="I96" s="2">
        <v>4.01</v>
      </c>
      <c r="J96" s="2">
        <v>0</v>
      </c>
      <c r="K96" s="2">
        <v>3.9</v>
      </c>
      <c r="L96" s="2">
        <v>838250.32</v>
      </c>
      <c r="M96" s="2">
        <v>122939.34</v>
      </c>
      <c r="N96">
        <f t="shared" si="6"/>
        <v>0</v>
      </c>
      <c r="O96">
        <f t="shared" si="7"/>
        <v>0</v>
      </c>
      <c r="P96">
        <f t="shared" si="8"/>
        <v>1</v>
      </c>
      <c r="Q96">
        <f t="shared" si="9"/>
        <v>0</v>
      </c>
      <c r="R96">
        <f t="shared" si="10"/>
        <v>0</v>
      </c>
      <c r="S96">
        <f t="shared" si="11"/>
        <v>1</v>
      </c>
    </row>
    <row r="97" spans="1:19">
      <c r="A97" s="2" t="s">
        <v>45</v>
      </c>
      <c r="B97" s="2" t="s">
        <v>27</v>
      </c>
      <c r="C97" s="2" t="s">
        <v>16</v>
      </c>
      <c r="D97" s="2">
        <v>9534.65</v>
      </c>
      <c r="E97" s="2">
        <v>6057</v>
      </c>
      <c r="F97" s="2">
        <v>7.3999999999999996E-2</v>
      </c>
      <c r="G97" s="2">
        <v>15</v>
      </c>
      <c r="H97" s="2">
        <v>94.1</v>
      </c>
      <c r="I97" s="2">
        <v>4.01</v>
      </c>
      <c r="J97" s="2">
        <v>0</v>
      </c>
      <c r="K97" s="2">
        <v>3.9</v>
      </c>
      <c r="L97" s="2">
        <v>607898.12</v>
      </c>
      <c r="M97" s="2">
        <v>135404.85</v>
      </c>
      <c r="N97">
        <f t="shared" si="6"/>
        <v>0</v>
      </c>
      <c r="O97">
        <f t="shared" si="7"/>
        <v>0</v>
      </c>
      <c r="P97">
        <f t="shared" si="8"/>
        <v>1</v>
      </c>
      <c r="Q97">
        <f t="shared" si="9"/>
        <v>0</v>
      </c>
      <c r="R97">
        <f t="shared" si="10"/>
        <v>0</v>
      </c>
      <c r="S97">
        <f t="shared" si="11"/>
        <v>1</v>
      </c>
    </row>
    <row r="98" spans="1:19">
      <c r="A98" s="2" t="s">
        <v>46</v>
      </c>
      <c r="B98" s="2" t="s">
        <v>27</v>
      </c>
      <c r="C98" s="2" t="s">
        <v>28</v>
      </c>
      <c r="D98" s="2">
        <v>61132.07</v>
      </c>
      <c r="E98" s="2">
        <v>6394</v>
      </c>
      <c r="F98" s="2">
        <v>0.16300000000000001</v>
      </c>
      <c r="G98" s="2">
        <v>19</v>
      </c>
      <c r="H98" s="2">
        <v>91</v>
      </c>
      <c r="I98" s="2">
        <v>4.01</v>
      </c>
      <c r="J98" s="2">
        <v>0</v>
      </c>
      <c r="K98" s="2">
        <v>3.9</v>
      </c>
      <c r="L98" s="2">
        <v>691113.62</v>
      </c>
      <c r="M98" s="2">
        <v>135145.44</v>
      </c>
      <c r="N98">
        <f t="shared" si="6"/>
        <v>0</v>
      </c>
      <c r="O98">
        <f t="shared" si="7"/>
        <v>0</v>
      </c>
      <c r="P98">
        <f t="shared" si="8"/>
        <v>1</v>
      </c>
      <c r="Q98">
        <f t="shared" si="9"/>
        <v>0</v>
      </c>
      <c r="R98">
        <f t="shared" si="10"/>
        <v>1</v>
      </c>
      <c r="S98">
        <f t="shared" si="11"/>
        <v>0</v>
      </c>
    </row>
    <row r="99" spans="1:19">
      <c r="A99" s="2" t="s">
        <v>46</v>
      </c>
      <c r="B99" s="2" t="s">
        <v>27</v>
      </c>
      <c r="C99" s="2" t="s">
        <v>28</v>
      </c>
      <c r="D99" s="2">
        <v>78839.39</v>
      </c>
      <c r="E99" s="2">
        <v>5150</v>
      </c>
      <c r="F99" s="2">
        <v>0.17100000000000001</v>
      </c>
      <c r="G99" s="2">
        <v>13</v>
      </c>
      <c r="H99" s="2">
        <v>85.8</v>
      </c>
      <c r="I99" s="2">
        <v>4.01</v>
      </c>
      <c r="J99" s="2">
        <v>0</v>
      </c>
      <c r="K99" s="2">
        <v>3.9</v>
      </c>
      <c r="L99" s="2">
        <v>735509.4</v>
      </c>
      <c r="M99" s="2">
        <v>83895.96</v>
      </c>
      <c r="N99">
        <f t="shared" si="6"/>
        <v>0</v>
      </c>
      <c r="O99">
        <f t="shared" si="7"/>
        <v>0</v>
      </c>
      <c r="P99">
        <f t="shared" si="8"/>
        <v>1</v>
      </c>
      <c r="Q99">
        <f t="shared" si="9"/>
        <v>0</v>
      </c>
      <c r="R99">
        <f t="shared" si="10"/>
        <v>1</v>
      </c>
      <c r="S99">
        <f t="shared" si="11"/>
        <v>0</v>
      </c>
    </row>
    <row r="100" spans="1:19">
      <c r="A100" s="2" t="s">
        <v>46</v>
      </c>
      <c r="B100" s="2" t="s">
        <v>27</v>
      </c>
      <c r="C100" s="2" t="s">
        <v>28</v>
      </c>
      <c r="D100" s="2">
        <v>38752.800000000003</v>
      </c>
      <c r="E100" s="2">
        <v>4712</v>
      </c>
      <c r="F100" s="2">
        <v>7.4999999999999997E-2</v>
      </c>
      <c r="G100" s="2">
        <v>15</v>
      </c>
      <c r="H100" s="2">
        <v>89.7</v>
      </c>
      <c r="I100" s="2">
        <v>4.01</v>
      </c>
      <c r="J100" s="2">
        <v>0</v>
      </c>
      <c r="K100" s="2">
        <v>3.9</v>
      </c>
      <c r="L100" s="2">
        <v>605775.32999999996</v>
      </c>
      <c r="M100" s="2">
        <v>107194.6</v>
      </c>
      <c r="N100">
        <f t="shared" si="6"/>
        <v>0</v>
      </c>
      <c r="O100">
        <f t="shared" si="7"/>
        <v>0</v>
      </c>
      <c r="P100">
        <f t="shared" si="8"/>
        <v>1</v>
      </c>
      <c r="Q100">
        <f t="shared" si="9"/>
        <v>0</v>
      </c>
      <c r="R100">
        <f t="shared" si="10"/>
        <v>1</v>
      </c>
      <c r="S100">
        <f t="shared" si="11"/>
        <v>0</v>
      </c>
    </row>
    <row r="101" spans="1:19">
      <c r="A101" s="2" t="s">
        <v>46</v>
      </c>
      <c r="B101" s="2" t="s">
        <v>27</v>
      </c>
      <c r="C101" s="2" t="s">
        <v>28</v>
      </c>
      <c r="D101" s="2">
        <v>55101.1</v>
      </c>
      <c r="E101" s="2">
        <v>5281</v>
      </c>
      <c r="F101" s="2">
        <v>0.189</v>
      </c>
      <c r="G101" s="2">
        <v>11</v>
      </c>
      <c r="H101" s="2">
        <v>91</v>
      </c>
      <c r="I101" s="2">
        <v>4.01</v>
      </c>
      <c r="J101" s="2">
        <v>0</v>
      </c>
      <c r="K101" s="2">
        <v>3.9</v>
      </c>
      <c r="L101" s="2">
        <v>675177.68</v>
      </c>
      <c r="M101" s="2">
        <v>105628.68</v>
      </c>
      <c r="N101">
        <f t="shared" si="6"/>
        <v>0</v>
      </c>
      <c r="O101">
        <f t="shared" si="7"/>
        <v>0</v>
      </c>
      <c r="P101">
        <f t="shared" si="8"/>
        <v>1</v>
      </c>
      <c r="Q101">
        <f t="shared" si="9"/>
        <v>0</v>
      </c>
      <c r="R101">
        <f t="shared" si="10"/>
        <v>1</v>
      </c>
      <c r="S101">
        <f t="shared" si="11"/>
        <v>0</v>
      </c>
    </row>
    <row r="102" spans="1:19">
      <c r="A102" s="2" t="s">
        <v>47</v>
      </c>
      <c r="B102" s="2" t="s">
        <v>15</v>
      </c>
      <c r="C102" s="2" t="s">
        <v>28</v>
      </c>
      <c r="D102" s="2">
        <v>53084.76</v>
      </c>
      <c r="E102" s="2">
        <v>3642</v>
      </c>
      <c r="F102" s="2">
        <v>0.15</v>
      </c>
      <c r="G102" s="2">
        <v>12</v>
      </c>
      <c r="H102" s="2">
        <v>91.4</v>
      </c>
      <c r="I102" s="2">
        <v>4.01</v>
      </c>
      <c r="J102" s="2">
        <v>0</v>
      </c>
      <c r="K102" s="2">
        <v>3.9</v>
      </c>
      <c r="L102" s="2">
        <v>635181.35</v>
      </c>
      <c r="M102" s="2">
        <v>83341.25</v>
      </c>
      <c r="N102">
        <f t="shared" si="6"/>
        <v>0</v>
      </c>
      <c r="O102">
        <f t="shared" si="7"/>
        <v>0</v>
      </c>
      <c r="P102">
        <f t="shared" si="8"/>
        <v>0</v>
      </c>
      <c r="Q102">
        <f t="shared" si="9"/>
        <v>0</v>
      </c>
      <c r="R102">
        <f t="shared" si="10"/>
        <v>1</v>
      </c>
      <c r="S102">
        <f t="shared" si="11"/>
        <v>0</v>
      </c>
    </row>
    <row r="103" spans="1:19">
      <c r="A103" s="2" t="s">
        <v>47</v>
      </c>
      <c r="B103" s="2" t="s">
        <v>15</v>
      </c>
      <c r="C103" s="2" t="s">
        <v>28</v>
      </c>
      <c r="D103" s="2">
        <v>63101.59</v>
      </c>
      <c r="E103" s="2">
        <v>4373</v>
      </c>
      <c r="F103" s="2">
        <v>0.17299999999999999</v>
      </c>
      <c r="G103" s="2">
        <v>14</v>
      </c>
      <c r="H103" s="2">
        <v>90.4</v>
      </c>
      <c r="I103" s="2">
        <v>4.01</v>
      </c>
      <c r="J103" s="2">
        <v>0</v>
      </c>
      <c r="K103" s="2">
        <v>3.9</v>
      </c>
      <c r="L103" s="2">
        <v>586626.93999999994</v>
      </c>
      <c r="M103" s="2">
        <v>86498.55</v>
      </c>
      <c r="N103">
        <f t="shared" si="6"/>
        <v>0</v>
      </c>
      <c r="O103">
        <f t="shared" si="7"/>
        <v>0</v>
      </c>
      <c r="P103">
        <f t="shared" si="8"/>
        <v>0</v>
      </c>
      <c r="Q103">
        <f t="shared" si="9"/>
        <v>0</v>
      </c>
      <c r="R103">
        <f t="shared" si="10"/>
        <v>1</v>
      </c>
      <c r="S103">
        <f t="shared" si="11"/>
        <v>0</v>
      </c>
    </row>
    <row r="104" spans="1:19">
      <c r="A104" s="2" t="s">
        <v>47</v>
      </c>
      <c r="B104" s="2" t="s">
        <v>15</v>
      </c>
      <c r="C104" s="2" t="s">
        <v>28</v>
      </c>
      <c r="D104" s="2">
        <v>90084.4</v>
      </c>
      <c r="E104" s="2">
        <v>6832</v>
      </c>
      <c r="F104" s="2">
        <v>0.185</v>
      </c>
      <c r="G104" s="2">
        <v>14</v>
      </c>
      <c r="H104" s="2">
        <v>80.5</v>
      </c>
      <c r="I104" s="2">
        <v>4.01</v>
      </c>
      <c r="J104" s="2">
        <v>1</v>
      </c>
      <c r="K104" s="2">
        <v>3.9</v>
      </c>
      <c r="L104" s="2">
        <v>740102.64</v>
      </c>
      <c r="M104" s="2">
        <v>114299.07</v>
      </c>
      <c r="N104">
        <f t="shared" si="6"/>
        <v>0</v>
      </c>
      <c r="O104">
        <f t="shared" si="7"/>
        <v>0</v>
      </c>
      <c r="P104">
        <f t="shared" si="8"/>
        <v>0</v>
      </c>
      <c r="Q104">
        <f t="shared" si="9"/>
        <v>0</v>
      </c>
      <c r="R104">
        <f t="shared" si="10"/>
        <v>1</v>
      </c>
      <c r="S104">
        <f t="shared" si="11"/>
        <v>0</v>
      </c>
    </row>
    <row r="105" spans="1:19">
      <c r="A105" s="2" t="s">
        <v>47</v>
      </c>
      <c r="B105" s="2" t="s">
        <v>15</v>
      </c>
      <c r="C105" s="2" t="s">
        <v>28</v>
      </c>
      <c r="D105" s="2">
        <v>32266.639999999999</v>
      </c>
      <c r="E105" s="2">
        <v>2414</v>
      </c>
      <c r="F105" s="2">
        <v>0.08</v>
      </c>
      <c r="G105" s="2">
        <v>7</v>
      </c>
      <c r="H105" s="2">
        <v>92.1</v>
      </c>
      <c r="I105" s="2">
        <v>4.01</v>
      </c>
      <c r="J105" s="2">
        <v>0</v>
      </c>
      <c r="K105" s="2">
        <v>3.9</v>
      </c>
      <c r="L105" s="2">
        <v>625514.04</v>
      </c>
      <c r="M105" s="2">
        <v>120685.08</v>
      </c>
      <c r="N105">
        <f t="shared" si="6"/>
        <v>0</v>
      </c>
      <c r="O105">
        <f t="shared" si="7"/>
        <v>0</v>
      </c>
      <c r="P105">
        <f t="shared" si="8"/>
        <v>0</v>
      </c>
      <c r="Q105">
        <f t="shared" si="9"/>
        <v>0</v>
      </c>
      <c r="R105">
        <f t="shared" si="10"/>
        <v>1</v>
      </c>
      <c r="S105">
        <f t="shared" si="11"/>
        <v>0</v>
      </c>
    </row>
    <row r="106" spans="1:19">
      <c r="A106" s="2" t="s">
        <v>48</v>
      </c>
      <c r="B106" s="2" t="s">
        <v>27</v>
      </c>
      <c r="C106" s="2" t="s">
        <v>18</v>
      </c>
      <c r="D106" s="2">
        <v>57919.07</v>
      </c>
      <c r="E106" s="2">
        <v>7374</v>
      </c>
      <c r="F106" s="2">
        <v>0.10299999999999999</v>
      </c>
      <c r="G106" s="2">
        <v>21</v>
      </c>
      <c r="H106" s="2">
        <v>82.3</v>
      </c>
      <c r="I106" s="2">
        <v>4.01</v>
      </c>
      <c r="J106" s="2">
        <v>0</v>
      </c>
      <c r="K106" s="2">
        <v>3.9</v>
      </c>
      <c r="L106" s="2">
        <v>727227.2</v>
      </c>
      <c r="M106" s="2">
        <v>121292.01</v>
      </c>
      <c r="N106">
        <f t="shared" si="6"/>
        <v>0</v>
      </c>
      <c r="O106">
        <f t="shared" si="7"/>
        <v>0</v>
      </c>
      <c r="P106">
        <f t="shared" si="8"/>
        <v>1</v>
      </c>
      <c r="Q106">
        <f t="shared" si="9"/>
        <v>0</v>
      </c>
      <c r="R106">
        <f t="shared" si="10"/>
        <v>0</v>
      </c>
      <c r="S106">
        <f t="shared" si="11"/>
        <v>0</v>
      </c>
    </row>
    <row r="107" spans="1:19">
      <c r="A107" s="2" t="s">
        <v>48</v>
      </c>
      <c r="B107" s="2" t="s">
        <v>27</v>
      </c>
      <c r="C107" s="2" t="s">
        <v>18</v>
      </c>
      <c r="D107" s="2">
        <v>74679.350000000006</v>
      </c>
      <c r="E107" s="2">
        <v>8739</v>
      </c>
      <c r="F107" s="2">
        <v>5.6000000000000001E-2</v>
      </c>
      <c r="G107" s="2">
        <v>21</v>
      </c>
      <c r="H107" s="2">
        <v>91.8</v>
      </c>
      <c r="I107" s="2">
        <v>4.01</v>
      </c>
      <c r="J107" s="2">
        <v>0</v>
      </c>
      <c r="K107" s="2">
        <v>3.9</v>
      </c>
      <c r="L107" s="2">
        <v>783797.89</v>
      </c>
      <c r="M107" s="2">
        <v>157620.70000000001</v>
      </c>
      <c r="N107">
        <f t="shared" si="6"/>
        <v>0</v>
      </c>
      <c r="O107">
        <f t="shared" si="7"/>
        <v>0</v>
      </c>
      <c r="P107">
        <f t="shared" si="8"/>
        <v>1</v>
      </c>
      <c r="Q107">
        <f t="shared" si="9"/>
        <v>0</v>
      </c>
      <c r="R107">
        <f t="shared" si="10"/>
        <v>0</v>
      </c>
      <c r="S107">
        <f t="shared" si="11"/>
        <v>0</v>
      </c>
    </row>
    <row r="108" spans="1:19">
      <c r="A108" s="2" t="s">
        <v>48</v>
      </c>
      <c r="B108" s="2" t="s">
        <v>27</v>
      </c>
      <c r="C108" s="2" t="s">
        <v>18</v>
      </c>
      <c r="D108" s="2">
        <v>64294.23</v>
      </c>
      <c r="E108" s="2">
        <v>6992</v>
      </c>
      <c r="F108" s="2">
        <v>0.13300000000000001</v>
      </c>
      <c r="G108" s="2">
        <v>14</v>
      </c>
      <c r="H108" s="2">
        <v>94.1</v>
      </c>
      <c r="I108" s="2">
        <v>4.01</v>
      </c>
      <c r="J108" s="2">
        <v>0</v>
      </c>
      <c r="K108" s="2">
        <v>3.9</v>
      </c>
      <c r="L108" s="2">
        <v>795153.84</v>
      </c>
      <c r="M108" s="2">
        <v>143194.21</v>
      </c>
      <c r="N108">
        <f t="shared" si="6"/>
        <v>0</v>
      </c>
      <c r="O108">
        <f t="shared" si="7"/>
        <v>0</v>
      </c>
      <c r="P108">
        <f t="shared" si="8"/>
        <v>1</v>
      </c>
      <c r="Q108">
        <f t="shared" si="9"/>
        <v>0</v>
      </c>
      <c r="R108">
        <f t="shared" si="10"/>
        <v>0</v>
      </c>
      <c r="S108">
        <f t="shared" si="11"/>
        <v>0</v>
      </c>
    </row>
    <row r="109" spans="1:19">
      <c r="A109" s="2" t="s">
        <v>48</v>
      </c>
      <c r="B109" s="2" t="s">
        <v>27</v>
      </c>
      <c r="C109" s="2" t="s">
        <v>18</v>
      </c>
      <c r="D109" s="2">
        <v>31042.03</v>
      </c>
      <c r="E109" s="2">
        <v>7107</v>
      </c>
      <c r="F109" s="2">
        <v>5.0999999999999997E-2</v>
      </c>
      <c r="G109" s="2">
        <v>15</v>
      </c>
      <c r="H109" s="2">
        <v>87</v>
      </c>
      <c r="I109" s="2">
        <v>4.01</v>
      </c>
      <c r="J109" s="2">
        <v>0</v>
      </c>
      <c r="K109" s="2">
        <v>3.9</v>
      </c>
      <c r="L109" s="2">
        <v>665594.93999999994</v>
      </c>
      <c r="M109" s="2">
        <v>127597.34</v>
      </c>
      <c r="N109">
        <f t="shared" si="6"/>
        <v>0</v>
      </c>
      <c r="O109">
        <f t="shared" si="7"/>
        <v>0</v>
      </c>
      <c r="P109">
        <f t="shared" si="8"/>
        <v>1</v>
      </c>
      <c r="Q109">
        <f t="shared" si="9"/>
        <v>0</v>
      </c>
      <c r="R109">
        <f t="shared" si="10"/>
        <v>0</v>
      </c>
      <c r="S109">
        <f t="shared" si="11"/>
        <v>0</v>
      </c>
    </row>
    <row r="110" spans="1:19">
      <c r="A110" s="2" t="s">
        <v>49</v>
      </c>
      <c r="B110" s="2" t="s">
        <v>15</v>
      </c>
      <c r="C110" s="2" t="s">
        <v>28</v>
      </c>
      <c r="D110" s="2">
        <v>75265.02</v>
      </c>
      <c r="E110" s="2">
        <v>6975</v>
      </c>
      <c r="F110" s="2">
        <v>0.157</v>
      </c>
      <c r="G110" s="2">
        <v>20</v>
      </c>
      <c r="H110" s="2">
        <v>73.8</v>
      </c>
      <c r="I110" s="2">
        <v>4.01</v>
      </c>
      <c r="J110" s="2">
        <v>1</v>
      </c>
      <c r="K110" s="2">
        <v>3.9</v>
      </c>
      <c r="L110" s="2">
        <v>709478.39</v>
      </c>
      <c r="M110" s="2">
        <v>71294.27</v>
      </c>
      <c r="N110">
        <f t="shared" si="6"/>
        <v>0</v>
      </c>
      <c r="O110">
        <f t="shared" si="7"/>
        <v>0</v>
      </c>
      <c r="P110">
        <f t="shared" si="8"/>
        <v>0</v>
      </c>
      <c r="Q110">
        <f t="shared" si="9"/>
        <v>0</v>
      </c>
      <c r="R110">
        <f t="shared" si="10"/>
        <v>1</v>
      </c>
      <c r="S110">
        <f t="shared" si="11"/>
        <v>0</v>
      </c>
    </row>
    <row r="111" spans="1:19">
      <c r="A111" s="2" t="s">
        <v>49</v>
      </c>
      <c r="B111" s="2" t="s">
        <v>15</v>
      </c>
      <c r="C111" s="2" t="s">
        <v>28</v>
      </c>
      <c r="D111" s="2">
        <v>69411.7</v>
      </c>
      <c r="E111" s="2">
        <v>5493</v>
      </c>
      <c r="F111" s="2">
        <v>0.29199999999999998</v>
      </c>
      <c r="G111" s="2">
        <v>13</v>
      </c>
      <c r="H111" s="2">
        <v>86.5</v>
      </c>
      <c r="I111" s="2">
        <v>4.01</v>
      </c>
      <c r="J111" s="2">
        <v>0</v>
      </c>
      <c r="K111" s="2">
        <v>3.9</v>
      </c>
      <c r="L111" s="2">
        <v>664162.49</v>
      </c>
      <c r="M111" s="2">
        <v>98291.06</v>
      </c>
      <c r="N111">
        <f t="shared" si="6"/>
        <v>0</v>
      </c>
      <c r="O111">
        <f t="shared" si="7"/>
        <v>0</v>
      </c>
      <c r="P111">
        <f t="shared" si="8"/>
        <v>0</v>
      </c>
      <c r="Q111">
        <f t="shared" si="9"/>
        <v>0</v>
      </c>
      <c r="R111">
        <f t="shared" si="10"/>
        <v>1</v>
      </c>
      <c r="S111">
        <f t="shared" si="11"/>
        <v>0</v>
      </c>
    </row>
    <row r="112" spans="1:19">
      <c r="A112" s="2" t="s">
        <v>49</v>
      </c>
      <c r="B112" s="2" t="s">
        <v>15</v>
      </c>
      <c r="C112" s="2" t="s">
        <v>28</v>
      </c>
      <c r="D112" s="2">
        <v>51056.15</v>
      </c>
      <c r="E112" s="2">
        <v>5686</v>
      </c>
      <c r="F112" s="2">
        <v>8.8999999999999996E-2</v>
      </c>
      <c r="G112" s="2">
        <v>13</v>
      </c>
      <c r="H112" s="2">
        <v>89.9</v>
      </c>
      <c r="I112" s="2">
        <v>4.01</v>
      </c>
      <c r="J112" s="2">
        <v>0</v>
      </c>
      <c r="K112" s="2">
        <v>3.9</v>
      </c>
      <c r="L112" s="2">
        <v>633494.21</v>
      </c>
      <c r="M112" s="2">
        <v>105739.47</v>
      </c>
      <c r="N112">
        <f t="shared" si="6"/>
        <v>0</v>
      </c>
      <c r="O112">
        <f t="shared" si="7"/>
        <v>0</v>
      </c>
      <c r="P112">
        <f t="shared" si="8"/>
        <v>0</v>
      </c>
      <c r="Q112">
        <f t="shared" si="9"/>
        <v>0</v>
      </c>
      <c r="R112">
        <f t="shared" si="10"/>
        <v>1</v>
      </c>
      <c r="S112">
        <f t="shared" si="11"/>
        <v>0</v>
      </c>
    </row>
    <row r="113" spans="1:19">
      <c r="A113" s="2" t="s">
        <v>49</v>
      </c>
      <c r="B113" s="2" t="s">
        <v>15</v>
      </c>
      <c r="C113" s="2" t="s">
        <v>28</v>
      </c>
      <c r="D113" s="2">
        <v>52758.01</v>
      </c>
      <c r="E113" s="2">
        <v>4063</v>
      </c>
      <c r="F113" s="2">
        <v>5.7000000000000002E-2</v>
      </c>
      <c r="G113" s="2">
        <v>12</v>
      </c>
      <c r="H113" s="2">
        <v>91.7</v>
      </c>
      <c r="I113" s="2">
        <v>4.01</v>
      </c>
      <c r="J113" s="2">
        <v>0</v>
      </c>
      <c r="K113" s="2">
        <v>3.9</v>
      </c>
      <c r="L113" s="2">
        <v>713611.16</v>
      </c>
      <c r="M113" s="2">
        <v>129717.18</v>
      </c>
      <c r="N113">
        <f t="shared" si="6"/>
        <v>0</v>
      </c>
      <c r="O113">
        <f t="shared" si="7"/>
        <v>0</v>
      </c>
      <c r="P113">
        <f t="shared" si="8"/>
        <v>0</v>
      </c>
      <c r="Q113">
        <f t="shared" si="9"/>
        <v>0</v>
      </c>
      <c r="R113">
        <f t="shared" si="10"/>
        <v>1</v>
      </c>
      <c r="S113">
        <f t="shared" si="11"/>
        <v>0</v>
      </c>
    </row>
    <row r="114" spans="1:19">
      <c r="A114" s="2" t="s">
        <v>50</v>
      </c>
      <c r="B114" s="2" t="s">
        <v>27</v>
      </c>
      <c r="C114" s="2" t="s">
        <v>28</v>
      </c>
      <c r="D114" s="2">
        <v>61426.04</v>
      </c>
      <c r="E114" s="2">
        <v>8966</v>
      </c>
      <c r="F114" s="2">
        <v>0.17299999999999999</v>
      </c>
      <c r="G114" s="2">
        <v>22</v>
      </c>
      <c r="H114" s="2">
        <v>76.400000000000006</v>
      </c>
      <c r="I114" s="2">
        <v>4.01</v>
      </c>
      <c r="J114" s="2">
        <v>0</v>
      </c>
      <c r="K114" s="2">
        <v>3.9</v>
      </c>
      <c r="L114" s="2">
        <v>778397.97</v>
      </c>
      <c r="M114" s="2">
        <v>120044.41</v>
      </c>
      <c r="N114">
        <f t="shared" si="6"/>
        <v>0</v>
      </c>
      <c r="O114">
        <f t="shared" si="7"/>
        <v>0</v>
      </c>
      <c r="P114">
        <f t="shared" si="8"/>
        <v>1</v>
      </c>
      <c r="Q114">
        <f t="shared" si="9"/>
        <v>0</v>
      </c>
      <c r="R114">
        <f t="shared" si="10"/>
        <v>1</v>
      </c>
      <c r="S114">
        <f t="shared" si="11"/>
        <v>0</v>
      </c>
    </row>
    <row r="115" spans="1:19">
      <c r="A115" s="2" t="s">
        <v>50</v>
      </c>
      <c r="B115" s="2" t="s">
        <v>27</v>
      </c>
      <c r="C115" s="2" t="s">
        <v>28</v>
      </c>
      <c r="D115" s="2">
        <v>80176.34</v>
      </c>
      <c r="E115" s="2">
        <v>9489</v>
      </c>
      <c r="F115" s="2">
        <v>0.14199999999999999</v>
      </c>
      <c r="G115" s="2">
        <v>22</v>
      </c>
      <c r="H115" s="2">
        <v>94.3</v>
      </c>
      <c r="I115" s="2">
        <v>4.01</v>
      </c>
      <c r="J115" s="2">
        <v>0</v>
      </c>
      <c r="K115" s="2">
        <v>3.9</v>
      </c>
      <c r="L115" s="2">
        <v>873380.02</v>
      </c>
      <c r="M115" s="2">
        <v>149734.76</v>
      </c>
      <c r="N115">
        <f t="shared" si="6"/>
        <v>0</v>
      </c>
      <c r="O115">
        <f t="shared" si="7"/>
        <v>0</v>
      </c>
      <c r="P115">
        <f t="shared" si="8"/>
        <v>1</v>
      </c>
      <c r="Q115">
        <f t="shared" si="9"/>
        <v>0</v>
      </c>
      <c r="R115">
        <f t="shared" si="10"/>
        <v>1</v>
      </c>
      <c r="S115">
        <f t="shared" si="11"/>
        <v>0</v>
      </c>
    </row>
    <row r="116" spans="1:19">
      <c r="A116" s="2" t="s">
        <v>50</v>
      </c>
      <c r="B116" s="2" t="s">
        <v>27</v>
      </c>
      <c r="C116" s="2" t="s">
        <v>28</v>
      </c>
      <c r="D116" s="2">
        <v>33605.18</v>
      </c>
      <c r="E116" s="2">
        <v>9225</v>
      </c>
      <c r="F116" s="2">
        <v>0.159</v>
      </c>
      <c r="G116" s="2">
        <v>23</v>
      </c>
      <c r="H116" s="2">
        <v>88.4</v>
      </c>
      <c r="I116" s="2">
        <v>4.01</v>
      </c>
      <c r="J116" s="2">
        <v>0</v>
      </c>
      <c r="K116" s="2">
        <v>3.9</v>
      </c>
      <c r="L116" s="2">
        <v>697287.9</v>
      </c>
      <c r="M116" s="2">
        <v>128208.33</v>
      </c>
      <c r="N116">
        <f t="shared" si="6"/>
        <v>0</v>
      </c>
      <c r="O116">
        <f t="shared" si="7"/>
        <v>0</v>
      </c>
      <c r="P116">
        <f t="shared" si="8"/>
        <v>1</v>
      </c>
      <c r="Q116">
        <f t="shared" si="9"/>
        <v>0</v>
      </c>
      <c r="R116">
        <f t="shared" si="10"/>
        <v>1</v>
      </c>
      <c r="S116">
        <f t="shared" si="11"/>
        <v>0</v>
      </c>
    </row>
    <row r="117" spans="1:19">
      <c r="A117" s="2" t="s">
        <v>50</v>
      </c>
      <c r="B117" s="2" t="s">
        <v>27</v>
      </c>
      <c r="C117" s="2" t="s">
        <v>28</v>
      </c>
      <c r="D117" s="2">
        <v>25990.54</v>
      </c>
      <c r="E117" s="2">
        <v>9249</v>
      </c>
      <c r="F117" s="2">
        <v>0.13900000000000001</v>
      </c>
      <c r="G117" s="2">
        <v>23</v>
      </c>
      <c r="H117" s="2">
        <v>92.5</v>
      </c>
      <c r="I117" s="2">
        <v>4.01</v>
      </c>
      <c r="J117" s="2">
        <v>0</v>
      </c>
      <c r="K117" s="2">
        <v>3.9</v>
      </c>
      <c r="L117" s="2">
        <v>718074.79</v>
      </c>
      <c r="M117" s="2">
        <v>115819.87</v>
      </c>
      <c r="N117">
        <f t="shared" si="6"/>
        <v>0</v>
      </c>
      <c r="O117">
        <f t="shared" si="7"/>
        <v>0</v>
      </c>
      <c r="P117">
        <f t="shared" si="8"/>
        <v>1</v>
      </c>
      <c r="Q117">
        <f t="shared" si="9"/>
        <v>0</v>
      </c>
      <c r="R117">
        <f t="shared" si="10"/>
        <v>1</v>
      </c>
      <c r="S117">
        <f t="shared" si="11"/>
        <v>0</v>
      </c>
    </row>
    <row r="118" spans="1:19">
      <c r="A118" s="2" t="s">
        <v>51</v>
      </c>
      <c r="B118" s="2" t="s">
        <v>27</v>
      </c>
      <c r="C118" s="2" t="s">
        <v>16</v>
      </c>
      <c r="D118" s="2">
        <v>43685.14</v>
      </c>
      <c r="E118" s="2">
        <v>7821</v>
      </c>
      <c r="F118" s="2">
        <v>0.19</v>
      </c>
      <c r="G118" s="2">
        <v>17</v>
      </c>
      <c r="H118" s="2">
        <v>91</v>
      </c>
      <c r="I118" s="2">
        <v>4.01</v>
      </c>
      <c r="J118" s="2">
        <v>1</v>
      </c>
      <c r="K118" s="2">
        <v>3.9</v>
      </c>
      <c r="L118" s="2">
        <v>714942.43</v>
      </c>
      <c r="M118" s="2">
        <v>94697.71</v>
      </c>
      <c r="N118">
        <f t="shared" si="6"/>
        <v>0</v>
      </c>
      <c r="O118">
        <f t="shared" si="7"/>
        <v>0</v>
      </c>
      <c r="P118">
        <f t="shared" si="8"/>
        <v>1</v>
      </c>
      <c r="Q118">
        <f t="shared" si="9"/>
        <v>0</v>
      </c>
      <c r="R118">
        <f t="shared" si="10"/>
        <v>0</v>
      </c>
      <c r="S118">
        <f t="shared" si="11"/>
        <v>1</v>
      </c>
    </row>
    <row r="119" spans="1:19">
      <c r="A119" s="2" t="s">
        <v>51</v>
      </c>
      <c r="B119" s="2" t="s">
        <v>27</v>
      </c>
      <c r="C119" s="2" t="s">
        <v>16</v>
      </c>
      <c r="D119" s="2">
        <v>57360.01</v>
      </c>
      <c r="E119" s="2">
        <v>8434</v>
      </c>
      <c r="F119" s="2">
        <v>0.151</v>
      </c>
      <c r="G119" s="2">
        <v>19</v>
      </c>
      <c r="H119" s="2">
        <v>84.1</v>
      </c>
      <c r="I119" s="2">
        <v>4.01</v>
      </c>
      <c r="J119" s="2">
        <v>0</v>
      </c>
      <c r="K119" s="2">
        <v>3.9</v>
      </c>
      <c r="L119" s="2">
        <v>820519.04</v>
      </c>
      <c r="M119" s="2">
        <v>99035.88</v>
      </c>
      <c r="N119">
        <f t="shared" si="6"/>
        <v>0</v>
      </c>
      <c r="O119">
        <f t="shared" si="7"/>
        <v>0</v>
      </c>
      <c r="P119">
        <f t="shared" si="8"/>
        <v>1</v>
      </c>
      <c r="Q119">
        <f t="shared" si="9"/>
        <v>0</v>
      </c>
      <c r="R119">
        <f t="shared" si="10"/>
        <v>0</v>
      </c>
      <c r="S119">
        <f t="shared" si="11"/>
        <v>1</v>
      </c>
    </row>
    <row r="120" spans="1:19">
      <c r="A120" s="2" t="s">
        <v>51</v>
      </c>
      <c r="B120" s="2" t="s">
        <v>27</v>
      </c>
      <c r="C120" s="2" t="s">
        <v>16</v>
      </c>
      <c r="D120" s="2">
        <v>42415.47</v>
      </c>
      <c r="E120" s="2">
        <v>8512</v>
      </c>
      <c r="F120" s="2">
        <v>0.13300000000000001</v>
      </c>
      <c r="G120" s="2">
        <v>18</v>
      </c>
      <c r="H120" s="2">
        <v>96.8</v>
      </c>
      <c r="I120" s="2">
        <v>4.01</v>
      </c>
      <c r="J120" s="2">
        <v>0</v>
      </c>
      <c r="K120" s="2">
        <v>3.9</v>
      </c>
      <c r="L120" s="2">
        <v>684217.32</v>
      </c>
      <c r="M120" s="2">
        <v>136217.19</v>
      </c>
      <c r="N120">
        <f t="shared" si="6"/>
        <v>0</v>
      </c>
      <c r="O120">
        <f t="shared" si="7"/>
        <v>0</v>
      </c>
      <c r="P120">
        <f t="shared" si="8"/>
        <v>1</v>
      </c>
      <c r="Q120">
        <f t="shared" si="9"/>
        <v>0</v>
      </c>
      <c r="R120">
        <f t="shared" si="10"/>
        <v>0</v>
      </c>
      <c r="S120">
        <f t="shared" si="11"/>
        <v>1</v>
      </c>
    </row>
    <row r="121" spans="1:19">
      <c r="A121" s="2" t="s">
        <v>51</v>
      </c>
      <c r="B121" s="2" t="s">
        <v>27</v>
      </c>
      <c r="C121" s="2" t="s">
        <v>16</v>
      </c>
      <c r="D121" s="2">
        <v>54968.98</v>
      </c>
      <c r="E121" s="2">
        <v>7816</v>
      </c>
      <c r="F121" s="2">
        <v>0.23200000000000001</v>
      </c>
      <c r="G121" s="2">
        <v>19</v>
      </c>
      <c r="H121" s="2">
        <v>95.7</v>
      </c>
      <c r="I121" s="2">
        <v>4.01</v>
      </c>
      <c r="J121" s="2">
        <v>0</v>
      </c>
      <c r="K121" s="2">
        <v>3.9</v>
      </c>
      <c r="L121" s="2">
        <v>735480.19</v>
      </c>
      <c r="M121" s="2">
        <v>88342.11</v>
      </c>
      <c r="N121">
        <f t="shared" si="6"/>
        <v>0</v>
      </c>
      <c r="O121">
        <f t="shared" si="7"/>
        <v>0</v>
      </c>
      <c r="P121">
        <f t="shared" si="8"/>
        <v>1</v>
      </c>
      <c r="Q121">
        <f t="shared" si="9"/>
        <v>0</v>
      </c>
      <c r="R121">
        <f t="shared" si="10"/>
        <v>0</v>
      </c>
      <c r="S121">
        <f t="shared" si="11"/>
        <v>1</v>
      </c>
    </row>
    <row r="122" spans="1:19">
      <c r="A122" s="2" t="s">
        <v>52</v>
      </c>
      <c r="B122" s="2" t="s">
        <v>20</v>
      </c>
      <c r="C122" s="2" t="s">
        <v>18</v>
      </c>
      <c r="D122" s="2">
        <v>43896.13</v>
      </c>
      <c r="E122" s="2">
        <v>3853</v>
      </c>
      <c r="F122" s="2">
        <v>8.7999999999999995E-2</v>
      </c>
      <c r="G122" s="2">
        <v>13</v>
      </c>
      <c r="H122" s="2">
        <v>83</v>
      </c>
      <c r="I122" s="2">
        <v>4.01</v>
      </c>
      <c r="J122" s="2">
        <v>0</v>
      </c>
      <c r="K122" s="2">
        <v>3.9</v>
      </c>
      <c r="L122" s="2">
        <v>509484.81</v>
      </c>
      <c r="M122" s="2">
        <v>85742.36</v>
      </c>
      <c r="N122">
        <f t="shared" si="6"/>
        <v>1</v>
      </c>
      <c r="O122">
        <f t="shared" si="7"/>
        <v>0</v>
      </c>
      <c r="P122">
        <f t="shared" si="8"/>
        <v>0</v>
      </c>
      <c r="Q122">
        <f t="shared" si="9"/>
        <v>0</v>
      </c>
      <c r="R122">
        <f t="shared" si="10"/>
        <v>0</v>
      </c>
      <c r="S122">
        <f t="shared" si="11"/>
        <v>0</v>
      </c>
    </row>
    <row r="123" spans="1:19">
      <c r="A123" s="2" t="s">
        <v>52</v>
      </c>
      <c r="B123" s="2" t="s">
        <v>20</v>
      </c>
      <c r="C123" s="2" t="s">
        <v>18</v>
      </c>
      <c r="D123" s="2">
        <v>83044.17</v>
      </c>
      <c r="E123" s="2">
        <v>3694</v>
      </c>
      <c r="F123" s="2">
        <v>0</v>
      </c>
      <c r="G123" s="2">
        <v>14</v>
      </c>
      <c r="H123" s="2">
        <v>89.4</v>
      </c>
      <c r="I123" s="2">
        <v>4.01</v>
      </c>
      <c r="J123" s="2">
        <v>0</v>
      </c>
      <c r="K123" s="2">
        <v>3.9</v>
      </c>
      <c r="L123" s="2">
        <v>654317.09</v>
      </c>
      <c r="M123" s="2">
        <v>121446.89</v>
      </c>
      <c r="N123">
        <f t="shared" si="6"/>
        <v>1</v>
      </c>
      <c r="O123">
        <f t="shared" si="7"/>
        <v>0</v>
      </c>
      <c r="P123">
        <f t="shared" si="8"/>
        <v>0</v>
      </c>
      <c r="Q123">
        <f t="shared" si="9"/>
        <v>0</v>
      </c>
      <c r="R123">
        <f t="shared" si="10"/>
        <v>0</v>
      </c>
      <c r="S123">
        <f t="shared" si="11"/>
        <v>0</v>
      </c>
    </row>
    <row r="124" spans="1:19">
      <c r="A124" s="2" t="s">
        <v>52</v>
      </c>
      <c r="B124" s="2" t="s">
        <v>20</v>
      </c>
      <c r="C124" s="2" t="s">
        <v>18</v>
      </c>
      <c r="D124" s="2">
        <v>48396.13</v>
      </c>
      <c r="E124" s="2">
        <v>4423</v>
      </c>
      <c r="F124" s="2">
        <v>6.9000000000000006E-2</v>
      </c>
      <c r="G124" s="2">
        <v>15</v>
      </c>
      <c r="H124" s="2">
        <v>85.7</v>
      </c>
      <c r="I124" s="2">
        <v>4.01</v>
      </c>
      <c r="J124" s="2">
        <v>0</v>
      </c>
      <c r="K124" s="2">
        <v>3.9</v>
      </c>
      <c r="L124" s="2">
        <v>557487.26</v>
      </c>
      <c r="M124" s="2">
        <v>76432.19</v>
      </c>
      <c r="N124">
        <f t="shared" si="6"/>
        <v>1</v>
      </c>
      <c r="O124">
        <f t="shared" si="7"/>
        <v>0</v>
      </c>
      <c r="P124">
        <f t="shared" si="8"/>
        <v>0</v>
      </c>
      <c r="Q124">
        <f t="shared" si="9"/>
        <v>0</v>
      </c>
      <c r="R124">
        <f t="shared" si="10"/>
        <v>0</v>
      </c>
      <c r="S124">
        <f t="shared" si="11"/>
        <v>0</v>
      </c>
    </row>
    <row r="125" spans="1:19">
      <c r="A125" s="2" t="s">
        <v>52</v>
      </c>
      <c r="B125" s="2" t="s">
        <v>20</v>
      </c>
      <c r="C125" s="2" t="s">
        <v>18</v>
      </c>
      <c r="D125" s="2">
        <v>19063.48</v>
      </c>
      <c r="E125" s="2">
        <v>1906</v>
      </c>
      <c r="F125" s="2">
        <v>0.216</v>
      </c>
      <c r="G125" s="2">
        <v>10</v>
      </c>
      <c r="H125" s="2">
        <v>97.8</v>
      </c>
      <c r="I125" s="2">
        <v>4.01</v>
      </c>
      <c r="J125" s="2">
        <v>0</v>
      </c>
      <c r="K125" s="2">
        <v>3.9</v>
      </c>
      <c r="L125" s="2">
        <v>441275.42</v>
      </c>
      <c r="M125" s="2">
        <v>58234.87</v>
      </c>
      <c r="N125">
        <f t="shared" si="6"/>
        <v>1</v>
      </c>
      <c r="O125">
        <f t="shared" si="7"/>
        <v>0</v>
      </c>
      <c r="P125">
        <f t="shared" si="8"/>
        <v>0</v>
      </c>
      <c r="Q125">
        <f t="shared" si="9"/>
        <v>0</v>
      </c>
      <c r="R125">
        <f t="shared" si="10"/>
        <v>0</v>
      </c>
      <c r="S125">
        <f t="shared" si="11"/>
        <v>0</v>
      </c>
    </row>
    <row r="126" spans="1:19">
      <c r="A126" s="2" t="s">
        <v>53</v>
      </c>
      <c r="B126" s="2" t="s">
        <v>24</v>
      </c>
      <c r="C126" s="2" t="s">
        <v>18</v>
      </c>
      <c r="D126" s="2">
        <v>61541.21</v>
      </c>
      <c r="E126" s="2">
        <v>10396</v>
      </c>
      <c r="F126" s="2">
        <v>0.123</v>
      </c>
      <c r="G126" s="2">
        <v>25</v>
      </c>
      <c r="H126" s="2">
        <v>88.1</v>
      </c>
      <c r="I126" s="2">
        <v>4.01</v>
      </c>
      <c r="J126" s="2">
        <v>1</v>
      </c>
      <c r="K126" s="2">
        <v>3.9</v>
      </c>
      <c r="L126" s="2">
        <v>914544.17</v>
      </c>
      <c r="M126" s="2">
        <v>79831.73</v>
      </c>
      <c r="N126">
        <f t="shared" si="6"/>
        <v>0</v>
      </c>
      <c r="O126">
        <f t="shared" si="7"/>
        <v>1</v>
      </c>
      <c r="P126">
        <f t="shared" si="8"/>
        <v>0</v>
      </c>
      <c r="Q126">
        <f t="shared" si="9"/>
        <v>0</v>
      </c>
      <c r="R126">
        <f t="shared" si="10"/>
        <v>0</v>
      </c>
      <c r="S126">
        <f t="shared" si="11"/>
        <v>0</v>
      </c>
    </row>
    <row r="127" spans="1:19">
      <c r="A127" s="2" t="s">
        <v>53</v>
      </c>
      <c r="B127" s="2" t="s">
        <v>24</v>
      </c>
      <c r="C127" s="2" t="s">
        <v>18</v>
      </c>
      <c r="D127" s="2">
        <v>44747</v>
      </c>
      <c r="E127" s="2">
        <v>11076</v>
      </c>
      <c r="F127" s="2">
        <v>0.17599999999999999</v>
      </c>
      <c r="G127" s="2">
        <v>27</v>
      </c>
      <c r="H127" s="2">
        <v>98.3</v>
      </c>
      <c r="I127" s="2">
        <v>4.01</v>
      </c>
      <c r="J127" s="2">
        <v>0</v>
      </c>
      <c r="K127" s="2">
        <v>3.9</v>
      </c>
      <c r="L127" s="2">
        <v>842439.67</v>
      </c>
      <c r="M127" s="2">
        <v>169983.63</v>
      </c>
      <c r="N127">
        <f t="shared" si="6"/>
        <v>0</v>
      </c>
      <c r="O127">
        <f t="shared" si="7"/>
        <v>1</v>
      </c>
      <c r="P127">
        <f t="shared" si="8"/>
        <v>0</v>
      </c>
      <c r="Q127">
        <f t="shared" si="9"/>
        <v>0</v>
      </c>
      <c r="R127">
        <f t="shared" si="10"/>
        <v>0</v>
      </c>
      <c r="S127">
        <f t="shared" si="11"/>
        <v>0</v>
      </c>
    </row>
    <row r="128" spans="1:19">
      <c r="A128" s="2" t="s">
        <v>53</v>
      </c>
      <c r="B128" s="2" t="s">
        <v>24</v>
      </c>
      <c r="C128" s="2" t="s">
        <v>18</v>
      </c>
      <c r="D128" s="2">
        <v>56517.9</v>
      </c>
      <c r="E128" s="2">
        <v>9574</v>
      </c>
      <c r="F128" s="2">
        <v>0.20399999999999999</v>
      </c>
      <c r="G128" s="2">
        <v>20</v>
      </c>
      <c r="H128" s="2">
        <v>88.2</v>
      </c>
      <c r="I128" s="2">
        <v>4.01</v>
      </c>
      <c r="J128" s="2">
        <v>1</v>
      </c>
      <c r="K128" s="2">
        <v>3.9</v>
      </c>
      <c r="L128" s="2">
        <v>842157.92</v>
      </c>
      <c r="M128" s="2">
        <v>107348.22</v>
      </c>
      <c r="N128">
        <f t="shared" si="6"/>
        <v>0</v>
      </c>
      <c r="O128">
        <f t="shared" si="7"/>
        <v>1</v>
      </c>
      <c r="P128">
        <f t="shared" si="8"/>
        <v>0</v>
      </c>
      <c r="Q128">
        <f t="shared" si="9"/>
        <v>0</v>
      </c>
      <c r="R128">
        <f t="shared" si="10"/>
        <v>0</v>
      </c>
      <c r="S128">
        <f t="shared" si="11"/>
        <v>0</v>
      </c>
    </row>
    <row r="129" spans="1:19">
      <c r="A129" s="2" t="s">
        <v>53</v>
      </c>
      <c r="B129" s="2" t="s">
        <v>24</v>
      </c>
      <c r="C129" s="2" t="s">
        <v>18</v>
      </c>
      <c r="D129" s="2">
        <v>37828.5</v>
      </c>
      <c r="E129" s="2">
        <v>8221</v>
      </c>
      <c r="F129" s="2">
        <v>9.6000000000000002E-2</v>
      </c>
      <c r="G129" s="2">
        <v>19</v>
      </c>
      <c r="H129" s="2">
        <v>81.5</v>
      </c>
      <c r="I129" s="2">
        <v>4.01</v>
      </c>
      <c r="J129" s="2">
        <v>0</v>
      </c>
      <c r="K129" s="2">
        <v>3.9</v>
      </c>
      <c r="L129" s="2">
        <v>697155.3</v>
      </c>
      <c r="M129" s="2">
        <v>136408.54</v>
      </c>
      <c r="N129">
        <f t="shared" si="6"/>
        <v>0</v>
      </c>
      <c r="O129">
        <f t="shared" si="7"/>
        <v>1</v>
      </c>
      <c r="P129">
        <f t="shared" si="8"/>
        <v>0</v>
      </c>
      <c r="Q129">
        <f t="shared" si="9"/>
        <v>0</v>
      </c>
      <c r="R129">
        <f t="shared" si="10"/>
        <v>0</v>
      </c>
      <c r="S129">
        <f t="shared" si="11"/>
        <v>0</v>
      </c>
    </row>
    <row r="130" spans="1:19">
      <c r="A130" s="2" t="s">
        <v>54</v>
      </c>
      <c r="B130" s="2" t="s">
        <v>15</v>
      </c>
      <c r="C130" s="2" t="s">
        <v>18</v>
      </c>
      <c r="D130" s="2">
        <v>66250.53</v>
      </c>
      <c r="E130" s="2">
        <v>10618</v>
      </c>
      <c r="F130" s="2">
        <v>0.14199999999999999</v>
      </c>
      <c r="G130" s="2">
        <v>27</v>
      </c>
      <c r="H130" s="2">
        <v>88.3</v>
      </c>
      <c r="I130" s="2">
        <v>4.01</v>
      </c>
      <c r="J130" s="2">
        <v>1</v>
      </c>
      <c r="K130" s="2">
        <v>3.9</v>
      </c>
      <c r="L130" s="2">
        <v>849018.3</v>
      </c>
      <c r="M130" s="2">
        <v>149035.13</v>
      </c>
      <c r="N130">
        <f t="shared" ref="N130:N193" si="12">IF(B130="North",1,0)</f>
        <v>0</v>
      </c>
      <c r="O130">
        <f t="shared" ref="O130:O193" si="13">IF(B130="South",1,0)</f>
        <v>0</v>
      </c>
      <c r="P130">
        <f t="shared" ref="P130:P193" si="14">IF(B130="West",1,0)</f>
        <v>0</v>
      </c>
      <c r="Q130">
        <f t="shared" ref="Q130:Q193" si="15">IF(C130="HighStreet",1,0)</f>
        <v>0</v>
      </c>
      <c r="R130">
        <f t="shared" ref="R130:R193" si="16">IF(C130="Mall",1,0)</f>
        <v>0</v>
      </c>
      <c r="S130">
        <f t="shared" ref="S130:S193" si="17">IF(C130="Residential",1,0)</f>
        <v>0</v>
      </c>
    </row>
    <row r="131" spans="1:19">
      <c r="A131" s="2" t="s">
        <v>54</v>
      </c>
      <c r="B131" s="2" t="s">
        <v>15</v>
      </c>
      <c r="C131" s="2" t="s">
        <v>18</v>
      </c>
      <c r="D131" s="2">
        <v>68410.929999999993</v>
      </c>
      <c r="E131" s="2">
        <v>10596</v>
      </c>
      <c r="F131" s="2">
        <v>0.20699999999999999</v>
      </c>
      <c r="G131" s="2">
        <v>25</v>
      </c>
      <c r="H131" s="2">
        <v>81.2</v>
      </c>
      <c r="I131" s="2">
        <v>4.01</v>
      </c>
      <c r="J131" s="2">
        <v>0</v>
      </c>
      <c r="K131" s="2">
        <v>3.9</v>
      </c>
      <c r="L131" s="2">
        <v>801830.35</v>
      </c>
      <c r="M131" s="2">
        <v>114875.32</v>
      </c>
      <c r="N131">
        <f t="shared" si="12"/>
        <v>0</v>
      </c>
      <c r="O131">
        <f t="shared" si="13"/>
        <v>0</v>
      </c>
      <c r="P131">
        <f t="shared" si="14"/>
        <v>0</v>
      </c>
      <c r="Q131">
        <f t="shared" si="15"/>
        <v>0</v>
      </c>
      <c r="R131">
        <f t="shared" si="16"/>
        <v>0</v>
      </c>
      <c r="S131">
        <f t="shared" si="17"/>
        <v>0</v>
      </c>
    </row>
    <row r="132" spans="1:19">
      <c r="A132" s="2" t="s">
        <v>54</v>
      </c>
      <c r="B132" s="2" t="s">
        <v>15</v>
      </c>
      <c r="C132" s="2" t="s">
        <v>18</v>
      </c>
      <c r="D132" s="2">
        <v>50735.63</v>
      </c>
      <c r="E132" s="2">
        <v>9619</v>
      </c>
      <c r="F132" s="2">
        <v>0.14399999999999999</v>
      </c>
      <c r="G132" s="2">
        <v>19</v>
      </c>
      <c r="H132" s="2">
        <v>93.8</v>
      </c>
      <c r="I132" s="2">
        <v>4.01</v>
      </c>
      <c r="J132" s="2">
        <v>1</v>
      </c>
      <c r="K132" s="2">
        <v>3.9</v>
      </c>
      <c r="L132" s="2">
        <v>725235.28</v>
      </c>
      <c r="M132" s="2">
        <v>121632.24</v>
      </c>
      <c r="N132">
        <f t="shared" si="12"/>
        <v>0</v>
      </c>
      <c r="O132">
        <f t="shared" si="13"/>
        <v>0</v>
      </c>
      <c r="P132">
        <f t="shared" si="14"/>
        <v>0</v>
      </c>
      <c r="Q132">
        <f t="shared" si="15"/>
        <v>0</v>
      </c>
      <c r="R132">
        <f t="shared" si="16"/>
        <v>0</v>
      </c>
      <c r="S132">
        <f t="shared" si="17"/>
        <v>0</v>
      </c>
    </row>
    <row r="133" spans="1:19">
      <c r="A133" s="2" t="s">
        <v>54</v>
      </c>
      <c r="B133" s="2" t="s">
        <v>15</v>
      </c>
      <c r="C133" s="2" t="s">
        <v>18</v>
      </c>
      <c r="D133" s="2">
        <v>66455.8</v>
      </c>
      <c r="E133" s="2">
        <v>10836</v>
      </c>
      <c r="F133" s="2">
        <v>8.8999999999999996E-2</v>
      </c>
      <c r="G133" s="2">
        <v>25</v>
      </c>
      <c r="H133" s="2">
        <v>85</v>
      </c>
      <c r="I133" s="2">
        <v>4.01</v>
      </c>
      <c r="J133" s="2">
        <v>0</v>
      </c>
      <c r="K133" s="2">
        <v>3.9</v>
      </c>
      <c r="L133" s="2">
        <v>811452.72</v>
      </c>
      <c r="M133" s="2">
        <v>131325.67000000001</v>
      </c>
      <c r="N133">
        <f t="shared" si="12"/>
        <v>0</v>
      </c>
      <c r="O133">
        <f t="shared" si="13"/>
        <v>0</v>
      </c>
      <c r="P133">
        <f t="shared" si="14"/>
        <v>0</v>
      </c>
      <c r="Q133">
        <f t="shared" si="15"/>
        <v>0</v>
      </c>
      <c r="R133">
        <f t="shared" si="16"/>
        <v>0</v>
      </c>
      <c r="S133">
        <f t="shared" si="17"/>
        <v>0</v>
      </c>
    </row>
    <row r="134" spans="1:19">
      <c r="A134" s="2" t="s">
        <v>55</v>
      </c>
      <c r="B134" s="2" t="s">
        <v>20</v>
      </c>
      <c r="C134" s="2" t="s">
        <v>18</v>
      </c>
      <c r="D134" s="2">
        <v>70276.28</v>
      </c>
      <c r="E134" s="2">
        <v>3043</v>
      </c>
      <c r="F134" s="2">
        <v>7.9000000000000001E-2</v>
      </c>
      <c r="G134" s="2">
        <v>9</v>
      </c>
      <c r="H134" s="2">
        <v>87.9</v>
      </c>
      <c r="I134" s="2">
        <v>4.01</v>
      </c>
      <c r="J134" s="2">
        <v>0</v>
      </c>
      <c r="K134" s="2">
        <v>3.9</v>
      </c>
      <c r="L134" s="2">
        <v>527300.13</v>
      </c>
      <c r="M134" s="2">
        <v>84197.87</v>
      </c>
      <c r="N134">
        <f t="shared" si="12"/>
        <v>1</v>
      </c>
      <c r="O134">
        <f t="shared" si="13"/>
        <v>0</v>
      </c>
      <c r="P134">
        <f t="shared" si="14"/>
        <v>0</v>
      </c>
      <c r="Q134">
        <f t="shared" si="15"/>
        <v>0</v>
      </c>
      <c r="R134">
        <f t="shared" si="16"/>
        <v>0</v>
      </c>
      <c r="S134">
        <f t="shared" si="17"/>
        <v>0</v>
      </c>
    </row>
    <row r="135" spans="1:19">
      <c r="A135" s="2" t="s">
        <v>55</v>
      </c>
      <c r="B135" s="2" t="s">
        <v>20</v>
      </c>
      <c r="C135" s="2" t="s">
        <v>18</v>
      </c>
      <c r="D135" s="2">
        <v>22071.64</v>
      </c>
      <c r="E135" s="2">
        <v>1814</v>
      </c>
      <c r="F135" s="2">
        <v>0.19600000000000001</v>
      </c>
      <c r="G135" s="2">
        <v>8</v>
      </c>
      <c r="H135" s="2">
        <v>81.099999999999994</v>
      </c>
      <c r="I135" s="2">
        <v>4.01</v>
      </c>
      <c r="J135" s="2">
        <v>0</v>
      </c>
      <c r="K135" s="2">
        <v>3.9</v>
      </c>
      <c r="L135" s="2">
        <v>400831.65</v>
      </c>
      <c r="M135" s="2">
        <v>70979.31</v>
      </c>
      <c r="N135">
        <f t="shared" si="12"/>
        <v>1</v>
      </c>
      <c r="O135">
        <f t="shared" si="13"/>
        <v>0</v>
      </c>
      <c r="P135">
        <f t="shared" si="14"/>
        <v>0</v>
      </c>
      <c r="Q135">
        <f t="shared" si="15"/>
        <v>0</v>
      </c>
      <c r="R135">
        <f t="shared" si="16"/>
        <v>0</v>
      </c>
      <c r="S135">
        <f t="shared" si="17"/>
        <v>0</v>
      </c>
    </row>
    <row r="136" spans="1:19">
      <c r="A136" s="2" t="s">
        <v>55</v>
      </c>
      <c r="B136" s="2" t="s">
        <v>20</v>
      </c>
      <c r="C136" s="2" t="s">
        <v>18</v>
      </c>
      <c r="D136" s="2">
        <v>52285.45</v>
      </c>
      <c r="E136" s="2">
        <v>3618</v>
      </c>
      <c r="F136" s="2">
        <v>8.5999999999999993E-2</v>
      </c>
      <c r="G136" s="2">
        <v>11</v>
      </c>
      <c r="H136" s="2">
        <v>95.6</v>
      </c>
      <c r="I136" s="2">
        <v>4.01</v>
      </c>
      <c r="J136" s="2">
        <v>1</v>
      </c>
      <c r="K136" s="2">
        <v>3.9</v>
      </c>
      <c r="L136" s="2">
        <v>593247.25</v>
      </c>
      <c r="M136" s="2">
        <v>81240.289999999994</v>
      </c>
      <c r="N136">
        <f t="shared" si="12"/>
        <v>1</v>
      </c>
      <c r="O136">
        <f t="shared" si="13"/>
        <v>0</v>
      </c>
      <c r="P136">
        <f t="shared" si="14"/>
        <v>0</v>
      </c>
      <c r="Q136">
        <f t="shared" si="15"/>
        <v>0</v>
      </c>
      <c r="R136">
        <f t="shared" si="16"/>
        <v>0</v>
      </c>
      <c r="S136">
        <f t="shared" si="17"/>
        <v>0</v>
      </c>
    </row>
    <row r="137" spans="1:19">
      <c r="A137" s="2" t="s">
        <v>55</v>
      </c>
      <c r="B137" s="2" t="s">
        <v>20</v>
      </c>
      <c r="C137" s="2" t="s">
        <v>18</v>
      </c>
      <c r="D137" s="2">
        <v>70366.759999999995</v>
      </c>
      <c r="E137" s="2">
        <v>1963</v>
      </c>
      <c r="F137" s="2">
        <v>0.182</v>
      </c>
      <c r="G137" s="2">
        <v>8</v>
      </c>
      <c r="H137" s="2">
        <v>89.8</v>
      </c>
      <c r="I137" s="2">
        <v>4.01</v>
      </c>
      <c r="J137" s="2">
        <v>0</v>
      </c>
      <c r="K137" s="2">
        <v>3.9</v>
      </c>
      <c r="L137" s="2">
        <v>529075.94999999995</v>
      </c>
      <c r="M137" s="2">
        <v>95978.83</v>
      </c>
      <c r="N137">
        <f t="shared" si="12"/>
        <v>1</v>
      </c>
      <c r="O137">
        <f t="shared" si="13"/>
        <v>0</v>
      </c>
      <c r="P137">
        <f t="shared" si="14"/>
        <v>0</v>
      </c>
      <c r="Q137">
        <f t="shared" si="15"/>
        <v>0</v>
      </c>
      <c r="R137">
        <f t="shared" si="16"/>
        <v>0</v>
      </c>
      <c r="S137">
        <f t="shared" si="17"/>
        <v>0</v>
      </c>
    </row>
    <row r="138" spans="1:19">
      <c r="A138" s="2" t="s">
        <v>56</v>
      </c>
      <c r="B138" s="2" t="s">
        <v>24</v>
      </c>
      <c r="C138" s="2" t="s">
        <v>16</v>
      </c>
      <c r="D138" s="2">
        <v>71320.66</v>
      </c>
      <c r="E138" s="2">
        <v>7888</v>
      </c>
      <c r="F138" s="2">
        <v>4.8000000000000001E-2</v>
      </c>
      <c r="G138" s="2">
        <v>20</v>
      </c>
      <c r="H138" s="2">
        <v>78.099999999999994</v>
      </c>
      <c r="I138" s="2">
        <v>4.01</v>
      </c>
      <c r="J138" s="2">
        <v>0</v>
      </c>
      <c r="K138" s="2">
        <v>3.9</v>
      </c>
      <c r="L138" s="2">
        <v>633638.03</v>
      </c>
      <c r="M138" s="2">
        <v>99402.01</v>
      </c>
      <c r="N138">
        <f t="shared" si="12"/>
        <v>0</v>
      </c>
      <c r="O138">
        <f t="shared" si="13"/>
        <v>1</v>
      </c>
      <c r="P138">
        <f t="shared" si="14"/>
        <v>0</v>
      </c>
      <c r="Q138">
        <f t="shared" si="15"/>
        <v>0</v>
      </c>
      <c r="R138">
        <f t="shared" si="16"/>
        <v>0</v>
      </c>
      <c r="S138">
        <f t="shared" si="17"/>
        <v>1</v>
      </c>
    </row>
    <row r="139" spans="1:19">
      <c r="A139" s="2" t="s">
        <v>56</v>
      </c>
      <c r="B139" s="2" t="s">
        <v>24</v>
      </c>
      <c r="C139" s="2" t="s">
        <v>16</v>
      </c>
      <c r="D139" s="2">
        <v>75109.67</v>
      </c>
      <c r="E139" s="2">
        <v>6244</v>
      </c>
      <c r="F139" s="2">
        <v>7.9000000000000001E-2</v>
      </c>
      <c r="G139" s="2">
        <v>15</v>
      </c>
      <c r="H139" s="2">
        <v>96.3</v>
      </c>
      <c r="I139" s="2">
        <v>4.01</v>
      </c>
      <c r="J139" s="2">
        <v>0</v>
      </c>
      <c r="K139" s="2">
        <v>3.9</v>
      </c>
      <c r="L139" s="2">
        <v>743348.84</v>
      </c>
      <c r="M139" s="2">
        <v>104186.09</v>
      </c>
      <c r="N139">
        <f t="shared" si="12"/>
        <v>0</v>
      </c>
      <c r="O139">
        <f t="shared" si="13"/>
        <v>1</v>
      </c>
      <c r="P139">
        <f t="shared" si="14"/>
        <v>0</v>
      </c>
      <c r="Q139">
        <f t="shared" si="15"/>
        <v>0</v>
      </c>
      <c r="R139">
        <f t="shared" si="16"/>
        <v>0</v>
      </c>
      <c r="S139">
        <f t="shared" si="17"/>
        <v>1</v>
      </c>
    </row>
    <row r="140" spans="1:19">
      <c r="A140" s="2" t="s">
        <v>56</v>
      </c>
      <c r="B140" s="2" t="s">
        <v>24</v>
      </c>
      <c r="C140" s="2" t="s">
        <v>16</v>
      </c>
      <c r="D140" s="2">
        <v>69779</v>
      </c>
      <c r="E140" s="2">
        <v>6544</v>
      </c>
      <c r="F140" s="2">
        <v>0.152</v>
      </c>
      <c r="G140" s="2">
        <v>18</v>
      </c>
      <c r="H140" s="2">
        <v>90.2</v>
      </c>
      <c r="I140" s="2">
        <v>4.01</v>
      </c>
      <c r="J140" s="2">
        <v>1</v>
      </c>
      <c r="K140" s="2">
        <v>3.9</v>
      </c>
      <c r="L140" s="2">
        <v>758827.64</v>
      </c>
      <c r="M140" s="2">
        <v>161439.48000000001</v>
      </c>
      <c r="N140">
        <f t="shared" si="12"/>
        <v>0</v>
      </c>
      <c r="O140">
        <f t="shared" si="13"/>
        <v>1</v>
      </c>
      <c r="P140">
        <f t="shared" si="14"/>
        <v>0</v>
      </c>
      <c r="Q140">
        <f t="shared" si="15"/>
        <v>0</v>
      </c>
      <c r="R140">
        <f t="shared" si="16"/>
        <v>0</v>
      </c>
      <c r="S140">
        <f t="shared" si="17"/>
        <v>1</v>
      </c>
    </row>
    <row r="141" spans="1:19">
      <c r="A141" s="2" t="s">
        <v>56</v>
      </c>
      <c r="B141" s="2" t="s">
        <v>24</v>
      </c>
      <c r="C141" s="2" t="s">
        <v>16</v>
      </c>
      <c r="D141" s="2">
        <v>44211.95</v>
      </c>
      <c r="E141" s="2">
        <v>5465</v>
      </c>
      <c r="F141" s="2">
        <v>0.187</v>
      </c>
      <c r="G141" s="2">
        <v>12</v>
      </c>
      <c r="H141" s="2">
        <v>90</v>
      </c>
      <c r="I141" s="2">
        <v>4.01</v>
      </c>
      <c r="J141" s="2">
        <v>0</v>
      </c>
      <c r="K141" s="2">
        <v>3.9</v>
      </c>
      <c r="L141" s="2">
        <v>646559.71</v>
      </c>
      <c r="M141" s="2">
        <v>97981.75</v>
      </c>
      <c r="N141">
        <f t="shared" si="12"/>
        <v>0</v>
      </c>
      <c r="O141">
        <f t="shared" si="13"/>
        <v>1</v>
      </c>
      <c r="P141">
        <f t="shared" si="14"/>
        <v>0</v>
      </c>
      <c r="Q141">
        <f t="shared" si="15"/>
        <v>0</v>
      </c>
      <c r="R141">
        <f t="shared" si="16"/>
        <v>0</v>
      </c>
      <c r="S141">
        <f t="shared" si="17"/>
        <v>1</v>
      </c>
    </row>
    <row r="142" spans="1:19">
      <c r="A142" s="2" t="s">
        <v>57</v>
      </c>
      <c r="B142" s="2" t="s">
        <v>27</v>
      </c>
      <c r="C142" s="2" t="s">
        <v>18</v>
      </c>
      <c r="D142" s="2">
        <v>51430.31</v>
      </c>
      <c r="E142" s="2">
        <v>6427</v>
      </c>
      <c r="F142" s="2">
        <v>0.23400000000000001</v>
      </c>
      <c r="G142" s="2">
        <v>14</v>
      </c>
      <c r="H142" s="2">
        <v>88.8</v>
      </c>
      <c r="I142" s="2">
        <v>4.01</v>
      </c>
      <c r="J142" s="2">
        <v>0</v>
      </c>
      <c r="K142" s="2">
        <v>3.9</v>
      </c>
      <c r="L142" s="2">
        <v>715890.53</v>
      </c>
      <c r="M142" s="2">
        <v>109032.15</v>
      </c>
      <c r="N142">
        <f t="shared" si="12"/>
        <v>0</v>
      </c>
      <c r="O142">
        <f t="shared" si="13"/>
        <v>0</v>
      </c>
      <c r="P142">
        <f t="shared" si="14"/>
        <v>1</v>
      </c>
      <c r="Q142">
        <f t="shared" si="15"/>
        <v>0</v>
      </c>
      <c r="R142">
        <f t="shared" si="16"/>
        <v>0</v>
      </c>
      <c r="S142">
        <f t="shared" si="17"/>
        <v>0</v>
      </c>
    </row>
    <row r="143" spans="1:19">
      <c r="A143" s="2" t="s">
        <v>57</v>
      </c>
      <c r="B143" s="2" t="s">
        <v>27</v>
      </c>
      <c r="C143" s="2" t="s">
        <v>18</v>
      </c>
      <c r="D143" s="2">
        <v>45706.49</v>
      </c>
      <c r="E143" s="2">
        <v>6704</v>
      </c>
      <c r="F143" s="2">
        <v>3.7999999999999999E-2</v>
      </c>
      <c r="G143" s="2">
        <v>15</v>
      </c>
      <c r="H143" s="2">
        <v>94.2</v>
      </c>
      <c r="I143" s="2">
        <v>4.01</v>
      </c>
      <c r="J143" s="2">
        <v>0</v>
      </c>
      <c r="K143" s="2">
        <v>3.9</v>
      </c>
      <c r="L143" s="2">
        <v>715097.57</v>
      </c>
      <c r="M143" s="2">
        <v>151875.85999999999</v>
      </c>
      <c r="N143">
        <f t="shared" si="12"/>
        <v>0</v>
      </c>
      <c r="O143">
        <f t="shared" si="13"/>
        <v>0</v>
      </c>
      <c r="P143">
        <f t="shared" si="14"/>
        <v>1</v>
      </c>
      <c r="Q143">
        <f t="shared" si="15"/>
        <v>0</v>
      </c>
      <c r="R143">
        <f t="shared" si="16"/>
        <v>0</v>
      </c>
      <c r="S143">
        <f t="shared" si="17"/>
        <v>0</v>
      </c>
    </row>
    <row r="144" spans="1:19">
      <c r="A144" s="2" t="s">
        <v>57</v>
      </c>
      <c r="B144" s="2" t="s">
        <v>27</v>
      </c>
      <c r="C144" s="2" t="s">
        <v>18</v>
      </c>
      <c r="D144" s="2">
        <v>44034.6</v>
      </c>
      <c r="E144" s="2">
        <v>5645</v>
      </c>
      <c r="F144" s="2">
        <v>6.9000000000000006E-2</v>
      </c>
      <c r="G144" s="2">
        <v>18</v>
      </c>
      <c r="H144" s="2">
        <v>88.5</v>
      </c>
      <c r="I144" s="2">
        <v>4.01</v>
      </c>
      <c r="J144" s="2">
        <v>0</v>
      </c>
      <c r="K144" s="2">
        <v>3.9</v>
      </c>
      <c r="L144" s="2">
        <v>682639.28</v>
      </c>
      <c r="M144" s="2">
        <v>77557.53</v>
      </c>
      <c r="N144">
        <f t="shared" si="12"/>
        <v>0</v>
      </c>
      <c r="O144">
        <f t="shared" si="13"/>
        <v>0</v>
      </c>
      <c r="P144">
        <f t="shared" si="14"/>
        <v>1</v>
      </c>
      <c r="Q144">
        <f t="shared" si="15"/>
        <v>0</v>
      </c>
      <c r="R144">
        <f t="shared" si="16"/>
        <v>0</v>
      </c>
      <c r="S144">
        <f t="shared" si="17"/>
        <v>0</v>
      </c>
    </row>
    <row r="145" spans="1:19">
      <c r="A145" s="2" t="s">
        <v>57</v>
      </c>
      <c r="B145" s="2" t="s">
        <v>27</v>
      </c>
      <c r="C145" s="2" t="s">
        <v>18</v>
      </c>
      <c r="D145" s="2">
        <v>50198.12</v>
      </c>
      <c r="E145" s="2">
        <v>6089</v>
      </c>
      <c r="F145" s="2">
        <v>0.182</v>
      </c>
      <c r="G145" s="2">
        <v>19</v>
      </c>
      <c r="H145" s="2">
        <v>94</v>
      </c>
      <c r="I145" s="2">
        <v>4.01</v>
      </c>
      <c r="J145" s="2">
        <v>0</v>
      </c>
      <c r="K145" s="2">
        <v>3.9</v>
      </c>
      <c r="L145" s="2">
        <v>695098.51</v>
      </c>
      <c r="M145" s="2">
        <v>108192.75</v>
      </c>
      <c r="N145">
        <f t="shared" si="12"/>
        <v>0</v>
      </c>
      <c r="O145">
        <f t="shared" si="13"/>
        <v>0</v>
      </c>
      <c r="P145">
        <f t="shared" si="14"/>
        <v>1</v>
      </c>
      <c r="Q145">
        <f t="shared" si="15"/>
        <v>0</v>
      </c>
      <c r="R145">
        <f t="shared" si="16"/>
        <v>0</v>
      </c>
      <c r="S145">
        <f t="shared" si="17"/>
        <v>0</v>
      </c>
    </row>
    <row r="146" spans="1:19">
      <c r="A146" s="2" t="s">
        <v>58</v>
      </c>
      <c r="B146" s="2" t="s">
        <v>20</v>
      </c>
      <c r="C146" s="2" t="s">
        <v>16</v>
      </c>
      <c r="D146" s="2">
        <v>70488.2</v>
      </c>
      <c r="E146" s="2">
        <v>4312</v>
      </c>
      <c r="F146" s="2">
        <v>0.16900000000000001</v>
      </c>
      <c r="G146" s="2">
        <v>12</v>
      </c>
      <c r="H146" s="2">
        <v>90.2</v>
      </c>
      <c r="I146" s="2">
        <v>4.01</v>
      </c>
      <c r="J146" s="2">
        <v>0</v>
      </c>
      <c r="K146" s="2">
        <v>3.9</v>
      </c>
      <c r="L146" s="2">
        <v>577732.56999999995</v>
      </c>
      <c r="M146" s="2">
        <v>93804.27</v>
      </c>
      <c r="N146">
        <f t="shared" si="12"/>
        <v>1</v>
      </c>
      <c r="O146">
        <f t="shared" si="13"/>
        <v>0</v>
      </c>
      <c r="P146">
        <f t="shared" si="14"/>
        <v>0</v>
      </c>
      <c r="Q146">
        <f t="shared" si="15"/>
        <v>0</v>
      </c>
      <c r="R146">
        <f t="shared" si="16"/>
        <v>0</v>
      </c>
      <c r="S146">
        <f t="shared" si="17"/>
        <v>1</v>
      </c>
    </row>
    <row r="147" spans="1:19">
      <c r="A147" s="2" t="s">
        <v>58</v>
      </c>
      <c r="B147" s="2" t="s">
        <v>20</v>
      </c>
      <c r="C147" s="2" t="s">
        <v>16</v>
      </c>
      <c r="D147" s="2">
        <v>50909.27</v>
      </c>
      <c r="E147" s="2">
        <v>3152</v>
      </c>
      <c r="F147" s="2">
        <v>0.06</v>
      </c>
      <c r="G147" s="2">
        <v>13</v>
      </c>
      <c r="H147" s="2">
        <v>93.7</v>
      </c>
      <c r="I147" s="2">
        <v>4.01</v>
      </c>
      <c r="J147" s="2">
        <v>0</v>
      </c>
      <c r="K147" s="2">
        <v>3.9</v>
      </c>
      <c r="L147" s="2">
        <v>537058.32999999996</v>
      </c>
      <c r="M147" s="2">
        <v>93555.71</v>
      </c>
      <c r="N147">
        <f t="shared" si="12"/>
        <v>1</v>
      </c>
      <c r="O147">
        <f t="shared" si="13"/>
        <v>0</v>
      </c>
      <c r="P147">
        <f t="shared" si="14"/>
        <v>0</v>
      </c>
      <c r="Q147">
        <f t="shared" si="15"/>
        <v>0</v>
      </c>
      <c r="R147">
        <f t="shared" si="16"/>
        <v>0</v>
      </c>
      <c r="S147">
        <f t="shared" si="17"/>
        <v>1</v>
      </c>
    </row>
    <row r="148" spans="1:19">
      <c r="A148" s="2" t="s">
        <v>58</v>
      </c>
      <c r="B148" s="2" t="s">
        <v>20</v>
      </c>
      <c r="C148" s="2" t="s">
        <v>16</v>
      </c>
      <c r="D148" s="2">
        <v>53351.7</v>
      </c>
      <c r="E148" s="2">
        <v>4259</v>
      </c>
      <c r="F148" s="2">
        <v>0.156</v>
      </c>
      <c r="G148" s="2">
        <v>15</v>
      </c>
      <c r="H148" s="2">
        <v>93.7</v>
      </c>
      <c r="I148" s="2">
        <v>4.01</v>
      </c>
      <c r="J148" s="2">
        <v>0</v>
      </c>
      <c r="K148" s="2">
        <v>3.9</v>
      </c>
      <c r="L148" s="2">
        <v>601568.87</v>
      </c>
      <c r="M148" s="2">
        <v>91634.82</v>
      </c>
      <c r="N148">
        <f t="shared" si="12"/>
        <v>1</v>
      </c>
      <c r="O148">
        <f t="shared" si="13"/>
        <v>0</v>
      </c>
      <c r="P148">
        <f t="shared" si="14"/>
        <v>0</v>
      </c>
      <c r="Q148">
        <f t="shared" si="15"/>
        <v>0</v>
      </c>
      <c r="R148">
        <f t="shared" si="16"/>
        <v>0</v>
      </c>
      <c r="S148">
        <f t="shared" si="17"/>
        <v>1</v>
      </c>
    </row>
    <row r="149" spans="1:19">
      <c r="A149" s="2" t="s">
        <v>58</v>
      </c>
      <c r="B149" s="2" t="s">
        <v>20</v>
      </c>
      <c r="C149" s="2" t="s">
        <v>16</v>
      </c>
      <c r="D149" s="2">
        <v>60322.400000000001</v>
      </c>
      <c r="E149" s="2">
        <v>3350</v>
      </c>
      <c r="F149" s="2">
        <v>0.108</v>
      </c>
      <c r="G149" s="2">
        <v>12</v>
      </c>
      <c r="H149" s="2">
        <v>89.4</v>
      </c>
      <c r="I149" s="2">
        <v>4.01</v>
      </c>
      <c r="J149" s="2">
        <v>0</v>
      </c>
      <c r="K149" s="2">
        <v>3.9</v>
      </c>
      <c r="L149" s="2">
        <v>570964.84</v>
      </c>
      <c r="M149" s="2">
        <v>81331.070000000007</v>
      </c>
      <c r="N149">
        <f t="shared" si="12"/>
        <v>1</v>
      </c>
      <c r="O149">
        <f t="shared" si="13"/>
        <v>0</v>
      </c>
      <c r="P149">
        <f t="shared" si="14"/>
        <v>0</v>
      </c>
      <c r="Q149">
        <f t="shared" si="15"/>
        <v>0</v>
      </c>
      <c r="R149">
        <f t="shared" si="16"/>
        <v>0</v>
      </c>
      <c r="S149">
        <f t="shared" si="17"/>
        <v>1</v>
      </c>
    </row>
    <row r="150" spans="1:19">
      <c r="A150" s="2" t="s">
        <v>59</v>
      </c>
      <c r="B150" s="2" t="s">
        <v>24</v>
      </c>
      <c r="C150" s="2" t="s">
        <v>28</v>
      </c>
      <c r="D150" s="2">
        <v>51575.68</v>
      </c>
      <c r="E150" s="2">
        <v>5329</v>
      </c>
      <c r="F150" s="2">
        <v>4.7E-2</v>
      </c>
      <c r="G150" s="2">
        <v>17</v>
      </c>
      <c r="H150" s="2">
        <v>88.1</v>
      </c>
      <c r="I150" s="2">
        <v>4.01</v>
      </c>
      <c r="J150" s="2">
        <v>0</v>
      </c>
      <c r="K150" s="2">
        <v>3.9</v>
      </c>
      <c r="L150" s="2">
        <v>614024.91</v>
      </c>
      <c r="M150" s="2">
        <v>84828.93</v>
      </c>
      <c r="N150">
        <f t="shared" si="12"/>
        <v>0</v>
      </c>
      <c r="O150">
        <f t="shared" si="13"/>
        <v>1</v>
      </c>
      <c r="P150">
        <f t="shared" si="14"/>
        <v>0</v>
      </c>
      <c r="Q150">
        <f t="shared" si="15"/>
        <v>0</v>
      </c>
      <c r="R150">
        <f t="shared" si="16"/>
        <v>1</v>
      </c>
      <c r="S150">
        <f t="shared" si="17"/>
        <v>0</v>
      </c>
    </row>
    <row r="151" spans="1:19">
      <c r="A151" s="2" t="s">
        <v>59</v>
      </c>
      <c r="B151" s="2" t="s">
        <v>24</v>
      </c>
      <c r="C151" s="2" t="s">
        <v>28</v>
      </c>
      <c r="D151" s="2">
        <v>43319.94</v>
      </c>
      <c r="E151" s="2">
        <v>6551</v>
      </c>
      <c r="F151" s="2">
        <v>4.3999999999999997E-2</v>
      </c>
      <c r="G151" s="2">
        <v>13</v>
      </c>
      <c r="H151" s="2">
        <v>99</v>
      </c>
      <c r="I151" s="2">
        <v>4.01</v>
      </c>
      <c r="J151" s="2">
        <v>0</v>
      </c>
      <c r="K151" s="2">
        <v>3.9</v>
      </c>
      <c r="L151" s="2">
        <v>712868.35</v>
      </c>
      <c r="M151" s="2">
        <v>133650.51</v>
      </c>
      <c r="N151">
        <f t="shared" si="12"/>
        <v>0</v>
      </c>
      <c r="O151">
        <f t="shared" si="13"/>
        <v>1</v>
      </c>
      <c r="P151">
        <f t="shared" si="14"/>
        <v>0</v>
      </c>
      <c r="Q151">
        <f t="shared" si="15"/>
        <v>0</v>
      </c>
      <c r="R151">
        <f t="shared" si="16"/>
        <v>1</v>
      </c>
      <c r="S151">
        <f t="shared" si="17"/>
        <v>0</v>
      </c>
    </row>
    <row r="152" spans="1:19">
      <c r="A152" s="2" t="s">
        <v>59</v>
      </c>
      <c r="B152" s="2" t="s">
        <v>24</v>
      </c>
      <c r="C152" s="2" t="s">
        <v>28</v>
      </c>
      <c r="D152" s="2">
        <v>47093.55</v>
      </c>
      <c r="E152" s="2">
        <v>5550</v>
      </c>
      <c r="F152" s="2">
        <v>0.1</v>
      </c>
      <c r="G152" s="2">
        <v>12</v>
      </c>
      <c r="H152" s="2">
        <v>95</v>
      </c>
      <c r="I152" s="2">
        <v>4.01</v>
      </c>
      <c r="J152" s="2">
        <v>1</v>
      </c>
      <c r="K152" s="2">
        <v>3.9</v>
      </c>
      <c r="L152" s="2">
        <v>696744.15</v>
      </c>
      <c r="M152" s="2">
        <v>152230.09</v>
      </c>
      <c r="N152">
        <f t="shared" si="12"/>
        <v>0</v>
      </c>
      <c r="O152">
        <f t="shared" si="13"/>
        <v>1</v>
      </c>
      <c r="P152">
        <f t="shared" si="14"/>
        <v>0</v>
      </c>
      <c r="Q152">
        <f t="shared" si="15"/>
        <v>0</v>
      </c>
      <c r="R152">
        <f t="shared" si="16"/>
        <v>1</v>
      </c>
      <c r="S152">
        <f t="shared" si="17"/>
        <v>0</v>
      </c>
    </row>
    <row r="153" spans="1:19">
      <c r="A153" s="2" t="s">
        <v>59</v>
      </c>
      <c r="B153" s="2" t="s">
        <v>24</v>
      </c>
      <c r="C153" s="2" t="s">
        <v>28</v>
      </c>
      <c r="D153" s="2">
        <v>71855.09</v>
      </c>
      <c r="E153" s="2">
        <v>5911</v>
      </c>
      <c r="F153" s="2">
        <v>0.19700000000000001</v>
      </c>
      <c r="G153" s="2">
        <v>15</v>
      </c>
      <c r="H153" s="2">
        <v>94.3</v>
      </c>
      <c r="I153" s="2">
        <v>4.01</v>
      </c>
      <c r="J153" s="2">
        <v>0</v>
      </c>
      <c r="K153" s="2">
        <v>3.9</v>
      </c>
      <c r="L153" s="2">
        <v>725847.99</v>
      </c>
      <c r="M153" s="2">
        <v>122698.73</v>
      </c>
      <c r="N153">
        <f t="shared" si="12"/>
        <v>0</v>
      </c>
      <c r="O153">
        <f t="shared" si="13"/>
        <v>1</v>
      </c>
      <c r="P153">
        <f t="shared" si="14"/>
        <v>0</v>
      </c>
      <c r="Q153">
        <f t="shared" si="15"/>
        <v>0</v>
      </c>
      <c r="R153">
        <f t="shared" si="16"/>
        <v>1</v>
      </c>
      <c r="S153">
        <f t="shared" si="17"/>
        <v>0</v>
      </c>
    </row>
    <row r="154" spans="1:19">
      <c r="A154" s="2" t="s">
        <v>60</v>
      </c>
      <c r="B154" s="2" t="s">
        <v>15</v>
      </c>
      <c r="C154" s="2" t="s">
        <v>18</v>
      </c>
      <c r="D154" s="2">
        <v>75645.23</v>
      </c>
      <c r="E154" s="2">
        <v>9674</v>
      </c>
      <c r="F154" s="2">
        <v>0.23400000000000001</v>
      </c>
      <c r="G154" s="2">
        <v>21</v>
      </c>
      <c r="H154" s="2">
        <v>87.4</v>
      </c>
      <c r="I154" s="2">
        <v>4.01</v>
      </c>
      <c r="J154" s="2">
        <v>0</v>
      </c>
      <c r="K154" s="2">
        <v>3.9</v>
      </c>
      <c r="L154" s="2">
        <v>785028.25</v>
      </c>
      <c r="M154" s="2">
        <v>110726.44</v>
      </c>
      <c r="N154">
        <f t="shared" si="12"/>
        <v>0</v>
      </c>
      <c r="O154">
        <f t="shared" si="13"/>
        <v>0</v>
      </c>
      <c r="P154">
        <f t="shared" si="14"/>
        <v>0</v>
      </c>
      <c r="Q154">
        <f t="shared" si="15"/>
        <v>0</v>
      </c>
      <c r="R154">
        <f t="shared" si="16"/>
        <v>0</v>
      </c>
      <c r="S154">
        <f t="shared" si="17"/>
        <v>0</v>
      </c>
    </row>
    <row r="155" spans="1:19">
      <c r="A155" s="2" t="s">
        <v>60</v>
      </c>
      <c r="B155" s="2" t="s">
        <v>15</v>
      </c>
      <c r="C155" s="2" t="s">
        <v>18</v>
      </c>
      <c r="D155" s="2">
        <v>64374.75</v>
      </c>
      <c r="E155" s="2">
        <v>6740</v>
      </c>
      <c r="F155" s="2">
        <v>0.16900000000000001</v>
      </c>
      <c r="G155" s="2">
        <v>18</v>
      </c>
      <c r="H155" s="2">
        <v>87</v>
      </c>
      <c r="I155" s="2">
        <v>4.01</v>
      </c>
      <c r="J155" s="2">
        <v>0</v>
      </c>
      <c r="K155" s="2">
        <v>3.9</v>
      </c>
      <c r="L155" s="2">
        <v>698492.67</v>
      </c>
      <c r="M155" s="2">
        <v>117319.32</v>
      </c>
      <c r="N155">
        <f t="shared" si="12"/>
        <v>0</v>
      </c>
      <c r="O155">
        <f t="shared" si="13"/>
        <v>0</v>
      </c>
      <c r="P155">
        <f t="shared" si="14"/>
        <v>0</v>
      </c>
      <c r="Q155">
        <f t="shared" si="15"/>
        <v>0</v>
      </c>
      <c r="R155">
        <f t="shared" si="16"/>
        <v>0</v>
      </c>
      <c r="S155">
        <f t="shared" si="17"/>
        <v>0</v>
      </c>
    </row>
    <row r="156" spans="1:19">
      <c r="A156" s="2" t="s">
        <v>60</v>
      </c>
      <c r="B156" s="2" t="s">
        <v>15</v>
      </c>
      <c r="C156" s="2" t="s">
        <v>18</v>
      </c>
      <c r="D156" s="2">
        <v>61433.84</v>
      </c>
      <c r="E156" s="2">
        <v>7745</v>
      </c>
      <c r="F156" s="2">
        <v>0.18</v>
      </c>
      <c r="G156" s="2">
        <v>16</v>
      </c>
      <c r="H156" s="2">
        <v>90.5</v>
      </c>
      <c r="I156" s="2">
        <v>4.01</v>
      </c>
      <c r="J156" s="2">
        <v>0</v>
      </c>
      <c r="K156" s="2">
        <v>3.9</v>
      </c>
      <c r="L156" s="2">
        <v>685830.24</v>
      </c>
      <c r="M156" s="2">
        <v>128736.18</v>
      </c>
      <c r="N156">
        <f t="shared" si="12"/>
        <v>0</v>
      </c>
      <c r="O156">
        <f t="shared" si="13"/>
        <v>0</v>
      </c>
      <c r="P156">
        <f t="shared" si="14"/>
        <v>0</v>
      </c>
      <c r="Q156">
        <f t="shared" si="15"/>
        <v>0</v>
      </c>
      <c r="R156">
        <f t="shared" si="16"/>
        <v>0</v>
      </c>
      <c r="S156">
        <f t="shared" si="17"/>
        <v>0</v>
      </c>
    </row>
    <row r="157" spans="1:19">
      <c r="A157" s="2" t="s">
        <v>60</v>
      </c>
      <c r="B157" s="2" t="s">
        <v>15</v>
      </c>
      <c r="C157" s="2" t="s">
        <v>18</v>
      </c>
      <c r="D157" s="2">
        <v>42698.14</v>
      </c>
      <c r="E157" s="2">
        <v>7693</v>
      </c>
      <c r="F157" s="2">
        <v>0.187</v>
      </c>
      <c r="G157" s="2">
        <v>19</v>
      </c>
      <c r="H157" s="2">
        <v>90.1</v>
      </c>
      <c r="I157" s="2">
        <v>4.01</v>
      </c>
      <c r="J157" s="2">
        <v>0</v>
      </c>
      <c r="K157" s="2">
        <v>3.9</v>
      </c>
      <c r="L157" s="2">
        <v>702318.94</v>
      </c>
      <c r="M157" s="2">
        <v>112829.29</v>
      </c>
      <c r="N157">
        <f t="shared" si="12"/>
        <v>0</v>
      </c>
      <c r="O157">
        <f t="shared" si="13"/>
        <v>0</v>
      </c>
      <c r="P157">
        <f t="shared" si="14"/>
        <v>0</v>
      </c>
      <c r="Q157">
        <f t="shared" si="15"/>
        <v>0</v>
      </c>
      <c r="R157">
        <f t="shared" si="16"/>
        <v>0</v>
      </c>
      <c r="S157">
        <f t="shared" si="17"/>
        <v>0</v>
      </c>
    </row>
    <row r="158" spans="1:19">
      <c r="A158" s="2" t="s">
        <v>61</v>
      </c>
      <c r="B158" s="2" t="s">
        <v>20</v>
      </c>
      <c r="C158" s="2" t="s">
        <v>28</v>
      </c>
      <c r="D158" s="2">
        <v>86883.31</v>
      </c>
      <c r="E158" s="2">
        <v>6424</v>
      </c>
      <c r="F158" s="2">
        <v>5.7000000000000002E-2</v>
      </c>
      <c r="G158" s="2">
        <v>19</v>
      </c>
      <c r="H158" s="2">
        <v>85.2</v>
      </c>
      <c r="I158" s="2">
        <v>4.01</v>
      </c>
      <c r="J158" s="2">
        <v>0</v>
      </c>
      <c r="K158" s="2">
        <v>3.9</v>
      </c>
      <c r="L158" s="2">
        <v>700078.32</v>
      </c>
      <c r="M158" s="2">
        <v>123707.58</v>
      </c>
      <c r="N158">
        <f t="shared" si="12"/>
        <v>1</v>
      </c>
      <c r="O158">
        <f t="shared" si="13"/>
        <v>0</v>
      </c>
      <c r="P158">
        <f t="shared" si="14"/>
        <v>0</v>
      </c>
      <c r="Q158">
        <f t="shared" si="15"/>
        <v>0</v>
      </c>
      <c r="R158">
        <f t="shared" si="16"/>
        <v>1</v>
      </c>
      <c r="S158">
        <f t="shared" si="17"/>
        <v>0</v>
      </c>
    </row>
    <row r="159" spans="1:19">
      <c r="A159" s="2" t="s">
        <v>61</v>
      </c>
      <c r="B159" s="2" t="s">
        <v>20</v>
      </c>
      <c r="C159" s="2" t="s">
        <v>28</v>
      </c>
      <c r="D159" s="2">
        <v>41863.08</v>
      </c>
      <c r="E159" s="2">
        <v>5400</v>
      </c>
      <c r="F159" s="2">
        <v>0.114</v>
      </c>
      <c r="G159" s="2">
        <v>11</v>
      </c>
      <c r="H159" s="2">
        <v>91.6</v>
      </c>
      <c r="I159" s="2">
        <v>4.01</v>
      </c>
      <c r="J159" s="2">
        <v>0</v>
      </c>
      <c r="K159" s="2">
        <v>3.9</v>
      </c>
      <c r="L159" s="2">
        <v>602002.31999999995</v>
      </c>
      <c r="M159" s="2">
        <v>110453.28</v>
      </c>
      <c r="N159">
        <f t="shared" si="12"/>
        <v>1</v>
      </c>
      <c r="O159">
        <f t="shared" si="13"/>
        <v>0</v>
      </c>
      <c r="P159">
        <f t="shared" si="14"/>
        <v>0</v>
      </c>
      <c r="Q159">
        <f t="shared" si="15"/>
        <v>0</v>
      </c>
      <c r="R159">
        <f t="shared" si="16"/>
        <v>1</v>
      </c>
      <c r="S159">
        <f t="shared" si="17"/>
        <v>0</v>
      </c>
    </row>
    <row r="160" spans="1:19">
      <c r="A160" s="2" t="s">
        <v>61</v>
      </c>
      <c r="B160" s="2" t="s">
        <v>20</v>
      </c>
      <c r="C160" s="2" t="s">
        <v>28</v>
      </c>
      <c r="D160" s="2">
        <v>56918.16</v>
      </c>
      <c r="E160" s="2">
        <v>7015</v>
      </c>
      <c r="F160" s="2">
        <v>0.158</v>
      </c>
      <c r="G160" s="2">
        <v>18</v>
      </c>
      <c r="H160" s="2">
        <v>74.2</v>
      </c>
      <c r="I160" s="2">
        <v>4.01</v>
      </c>
      <c r="J160" s="2">
        <v>0</v>
      </c>
      <c r="K160" s="2">
        <v>3.9</v>
      </c>
      <c r="L160" s="2">
        <v>724216.07</v>
      </c>
      <c r="M160" s="2">
        <v>100627.56</v>
      </c>
      <c r="N160">
        <f t="shared" si="12"/>
        <v>1</v>
      </c>
      <c r="O160">
        <f t="shared" si="13"/>
        <v>0</v>
      </c>
      <c r="P160">
        <f t="shared" si="14"/>
        <v>0</v>
      </c>
      <c r="Q160">
        <f t="shared" si="15"/>
        <v>0</v>
      </c>
      <c r="R160">
        <f t="shared" si="16"/>
        <v>1</v>
      </c>
      <c r="S160">
        <f t="shared" si="17"/>
        <v>0</v>
      </c>
    </row>
    <row r="161" spans="1:19">
      <c r="A161" s="2" t="s">
        <v>61</v>
      </c>
      <c r="B161" s="2" t="s">
        <v>20</v>
      </c>
      <c r="C161" s="2" t="s">
        <v>28</v>
      </c>
      <c r="D161" s="2">
        <v>23254.57</v>
      </c>
      <c r="E161" s="2">
        <v>3847</v>
      </c>
      <c r="F161" s="2">
        <v>0.159</v>
      </c>
      <c r="G161" s="2">
        <v>12</v>
      </c>
      <c r="H161" s="2">
        <v>93</v>
      </c>
      <c r="I161" s="2">
        <v>4.01</v>
      </c>
      <c r="J161" s="2">
        <v>0</v>
      </c>
      <c r="K161" s="2">
        <v>3.9</v>
      </c>
      <c r="L161" s="2">
        <v>620973.03</v>
      </c>
      <c r="M161" s="2">
        <v>72303.850000000006</v>
      </c>
      <c r="N161">
        <f t="shared" si="12"/>
        <v>1</v>
      </c>
      <c r="O161">
        <f t="shared" si="13"/>
        <v>0</v>
      </c>
      <c r="P161">
        <f t="shared" si="14"/>
        <v>0</v>
      </c>
      <c r="Q161">
        <f t="shared" si="15"/>
        <v>0</v>
      </c>
      <c r="R161">
        <f t="shared" si="16"/>
        <v>1</v>
      </c>
      <c r="S161">
        <f t="shared" si="17"/>
        <v>0</v>
      </c>
    </row>
    <row r="162" spans="1:19">
      <c r="A162" s="2" t="s">
        <v>62</v>
      </c>
      <c r="B162" s="2" t="s">
        <v>24</v>
      </c>
      <c r="C162" s="2" t="s">
        <v>18</v>
      </c>
      <c r="D162" s="2">
        <v>41443.410000000003</v>
      </c>
      <c r="E162" s="2">
        <v>7455</v>
      </c>
      <c r="F162" s="2">
        <v>0.17499999999999999</v>
      </c>
      <c r="G162" s="2">
        <v>16</v>
      </c>
      <c r="H162" s="2">
        <v>90.1</v>
      </c>
      <c r="I162" s="2">
        <v>4.01</v>
      </c>
      <c r="J162" s="2">
        <v>0</v>
      </c>
      <c r="K162" s="2">
        <v>3.9</v>
      </c>
      <c r="L162" s="2">
        <v>650480.06000000006</v>
      </c>
      <c r="M162" s="2">
        <v>109012.07</v>
      </c>
      <c r="N162">
        <f t="shared" si="12"/>
        <v>0</v>
      </c>
      <c r="O162">
        <f t="shared" si="13"/>
        <v>1</v>
      </c>
      <c r="P162">
        <f t="shared" si="14"/>
        <v>0</v>
      </c>
      <c r="Q162">
        <f t="shared" si="15"/>
        <v>0</v>
      </c>
      <c r="R162">
        <f t="shared" si="16"/>
        <v>0</v>
      </c>
      <c r="S162">
        <f t="shared" si="17"/>
        <v>0</v>
      </c>
    </row>
    <row r="163" spans="1:19">
      <c r="A163" s="2" t="s">
        <v>62</v>
      </c>
      <c r="B163" s="2" t="s">
        <v>24</v>
      </c>
      <c r="C163" s="2" t="s">
        <v>18</v>
      </c>
      <c r="D163" s="2">
        <v>48438.85</v>
      </c>
      <c r="E163" s="2">
        <v>6992</v>
      </c>
      <c r="F163" s="2">
        <v>3.4000000000000002E-2</v>
      </c>
      <c r="G163" s="2">
        <v>20</v>
      </c>
      <c r="H163" s="2">
        <v>91</v>
      </c>
      <c r="I163" s="2">
        <v>4.01</v>
      </c>
      <c r="J163" s="2">
        <v>0</v>
      </c>
      <c r="K163" s="2">
        <v>3.9</v>
      </c>
      <c r="L163" s="2">
        <v>778298.88</v>
      </c>
      <c r="M163" s="2">
        <v>130076.72</v>
      </c>
      <c r="N163">
        <f t="shared" si="12"/>
        <v>0</v>
      </c>
      <c r="O163">
        <f t="shared" si="13"/>
        <v>1</v>
      </c>
      <c r="P163">
        <f t="shared" si="14"/>
        <v>0</v>
      </c>
      <c r="Q163">
        <f t="shared" si="15"/>
        <v>0</v>
      </c>
      <c r="R163">
        <f t="shared" si="16"/>
        <v>0</v>
      </c>
      <c r="S163">
        <f t="shared" si="17"/>
        <v>0</v>
      </c>
    </row>
    <row r="164" spans="1:19">
      <c r="A164" s="2" t="s">
        <v>62</v>
      </c>
      <c r="B164" s="2" t="s">
        <v>24</v>
      </c>
      <c r="C164" s="2" t="s">
        <v>18</v>
      </c>
      <c r="D164" s="2">
        <v>57143.3</v>
      </c>
      <c r="E164" s="2">
        <v>8038</v>
      </c>
      <c r="F164" s="2">
        <v>0.193</v>
      </c>
      <c r="G164" s="2">
        <v>17</v>
      </c>
      <c r="H164" s="2">
        <v>72.599999999999994</v>
      </c>
      <c r="I164" s="2">
        <v>4.01</v>
      </c>
      <c r="J164" s="2">
        <v>0</v>
      </c>
      <c r="K164" s="2">
        <v>3.9</v>
      </c>
      <c r="L164" s="2">
        <v>677096.71</v>
      </c>
      <c r="M164" s="2">
        <v>97174.11</v>
      </c>
      <c r="N164">
        <f t="shared" si="12"/>
        <v>0</v>
      </c>
      <c r="O164">
        <f t="shared" si="13"/>
        <v>1</v>
      </c>
      <c r="P164">
        <f t="shared" si="14"/>
        <v>0</v>
      </c>
      <c r="Q164">
        <f t="shared" si="15"/>
        <v>0</v>
      </c>
      <c r="R164">
        <f t="shared" si="16"/>
        <v>0</v>
      </c>
      <c r="S164">
        <f t="shared" si="17"/>
        <v>0</v>
      </c>
    </row>
    <row r="165" spans="1:19">
      <c r="A165" s="2" t="s">
        <v>62</v>
      </c>
      <c r="B165" s="2" t="s">
        <v>24</v>
      </c>
      <c r="C165" s="2" t="s">
        <v>18</v>
      </c>
      <c r="D165" s="2">
        <v>66870.62</v>
      </c>
      <c r="E165" s="2">
        <v>6055</v>
      </c>
      <c r="F165" s="2">
        <v>7.4999999999999997E-2</v>
      </c>
      <c r="G165" s="2">
        <v>19</v>
      </c>
      <c r="H165" s="2">
        <v>93.8</v>
      </c>
      <c r="I165" s="2">
        <v>4.01</v>
      </c>
      <c r="J165" s="2">
        <v>0</v>
      </c>
      <c r="K165" s="2">
        <v>3.9</v>
      </c>
      <c r="L165" s="2">
        <v>692008.64</v>
      </c>
      <c r="M165" s="2">
        <v>116337.87</v>
      </c>
      <c r="N165">
        <f t="shared" si="12"/>
        <v>0</v>
      </c>
      <c r="O165">
        <f t="shared" si="13"/>
        <v>1</v>
      </c>
      <c r="P165">
        <f t="shared" si="14"/>
        <v>0</v>
      </c>
      <c r="Q165">
        <f t="shared" si="15"/>
        <v>0</v>
      </c>
      <c r="R165">
        <f t="shared" si="16"/>
        <v>0</v>
      </c>
      <c r="S165">
        <f t="shared" si="17"/>
        <v>0</v>
      </c>
    </row>
    <row r="166" spans="1:19">
      <c r="A166" s="2" t="s">
        <v>63</v>
      </c>
      <c r="B166" s="2" t="s">
        <v>20</v>
      </c>
      <c r="C166" s="2" t="s">
        <v>28</v>
      </c>
      <c r="D166" s="2">
        <v>72150.53</v>
      </c>
      <c r="E166" s="2">
        <v>9323</v>
      </c>
      <c r="F166" s="2">
        <v>0.157</v>
      </c>
      <c r="G166" s="2">
        <v>22</v>
      </c>
      <c r="H166" s="2">
        <v>82.9</v>
      </c>
      <c r="I166" s="2">
        <v>4.01</v>
      </c>
      <c r="J166" s="2">
        <v>1</v>
      </c>
      <c r="K166" s="2">
        <v>3.9</v>
      </c>
      <c r="L166" s="2">
        <v>825797.91</v>
      </c>
      <c r="M166" s="2">
        <v>130945.24</v>
      </c>
      <c r="N166">
        <f t="shared" si="12"/>
        <v>1</v>
      </c>
      <c r="O166">
        <f t="shared" si="13"/>
        <v>0</v>
      </c>
      <c r="P166">
        <f t="shared" si="14"/>
        <v>0</v>
      </c>
      <c r="Q166">
        <f t="shared" si="15"/>
        <v>0</v>
      </c>
      <c r="R166">
        <f t="shared" si="16"/>
        <v>1</v>
      </c>
      <c r="S166">
        <f t="shared" si="17"/>
        <v>0</v>
      </c>
    </row>
    <row r="167" spans="1:19">
      <c r="A167" s="2" t="s">
        <v>63</v>
      </c>
      <c r="B167" s="2" t="s">
        <v>20</v>
      </c>
      <c r="C167" s="2" t="s">
        <v>28</v>
      </c>
      <c r="D167" s="2">
        <v>35303.300000000003</v>
      </c>
      <c r="E167" s="2">
        <v>8789</v>
      </c>
      <c r="F167" s="2">
        <v>0.123</v>
      </c>
      <c r="G167" s="2">
        <v>22</v>
      </c>
      <c r="H167" s="2">
        <v>86.1</v>
      </c>
      <c r="I167" s="2">
        <v>4.01</v>
      </c>
      <c r="J167" s="2">
        <v>0</v>
      </c>
      <c r="K167" s="2">
        <v>3.9</v>
      </c>
      <c r="L167" s="2">
        <v>706285.52</v>
      </c>
      <c r="M167" s="2">
        <v>138014.72</v>
      </c>
      <c r="N167">
        <f t="shared" si="12"/>
        <v>1</v>
      </c>
      <c r="O167">
        <f t="shared" si="13"/>
        <v>0</v>
      </c>
      <c r="P167">
        <f t="shared" si="14"/>
        <v>0</v>
      </c>
      <c r="Q167">
        <f t="shared" si="15"/>
        <v>0</v>
      </c>
      <c r="R167">
        <f t="shared" si="16"/>
        <v>1</v>
      </c>
      <c r="S167">
        <f t="shared" si="17"/>
        <v>0</v>
      </c>
    </row>
    <row r="168" spans="1:19">
      <c r="A168" s="2" t="s">
        <v>63</v>
      </c>
      <c r="B168" s="2" t="s">
        <v>20</v>
      </c>
      <c r="C168" s="2" t="s">
        <v>28</v>
      </c>
      <c r="D168" s="2">
        <v>30301.86</v>
      </c>
      <c r="E168" s="2">
        <v>6939</v>
      </c>
      <c r="F168" s="2">
        <v>0.09</v>
      </c>
      <c r="G168" s="2">
        <v>16</v>
      </c>
      <c r="H168" s="2">
        <v>90.3</v>
      </c>
      <c r="I168" s="2">
        <v>4.01</v>
      </c>
      <c r="J168" s="2">
        <v>0</v>
      </c>
      <c r="K168" s="2">
        <v>3.9</v>
      </c>
      <c r="L168" s="2">
        <v>665534.69999999995</v>
      </c>
      <c r="M168" s="2">
        <v>113167.73</v>
      </c>
      <c r="N168">
        <f t="shared" si="12"/>
        <v>1</v>
      </c>
      <c r="O168">
        <f t="shared" si="13"/>
        <v>0</v>
      </c>
      <c r="P168">
        <f t="shared" si="14"/>
        <v>0</v>
      </c>
      <c r="Q168">
        <f t="shared" si="15"/>
        <v>0</v>
      </c>
      <c r="R168">
        <f t="shared" si="16"/>
        <v>1</v>
      </c>
      <c r="S168">
        <f t="shared" si="17"/>
        <v>0</v>
      </c>
    </row>
    <row r="169" spans="1:19">
      <c r="A169" s="2" t="s">
        <v>63</v>
      </c>
      <c r="B169" s="2" t="s">
        <v>20</v>
      </c>
      <c r="C169" s="2" t="s">
        <v>28</v>
      </c>
      <c r="D169" s="2">
        <v>78432.14</v>
      </c>
      <c r="E169" s="2">
        <v>9440</v>
      </c>
      <c r="F169" s="2">
        <v>0.126</v>
      </c>
      <c r="G169" s="2">
        <v>23</v>
      </c>
      <c r="H169" s="2">
        <v>89.2</v>
      </c>
      <c r="I169" s="2">
        <v>4.01</v>
      </c>
      <c r="J169" s="2">
        <v>0</v>
      </c>
      <c r="K169" s="2">
        <v>3.9</v>
      </c>
      <c r="L169" s="2">
        <v>820729.29</v>
      </c>
      <c r="M169" s="2">
        <v>159325.47</v>
      </c>
      <c r="N169">
        <f t="shared" si="12"/>
        <v>1</v>
      </c>
      <c r="O169">
        <f t="shared" si="13"/>
        <v>0</v>
      </c>
      <c r="P169">
        <f t="shared" si="14"/>
        <v>0</v>
      </c>
      <c r="Q169">
        <f t="shared" si="15"/>
        <v>0</v>
      </c>
      <c r="R169">
        <f t="shared" si="16"/>
        <v>1</v>
      </c>
      <c r="S169">
        <f t="shared" si="17"/>
        <v>0</v>
      </c>
    </row>
    <row r="170" spans="1:19">
      <c r="A170" s="2" t="s">
        <v>64</v>
      </c>
      <c r="B170" s="2" t="s">
        <v>15</v>
      </c>
      <c r="C170" s="2" t="s">
        <v>16</v>
      </c>
      <c r="D170" s="2">
        <v>62059.18</v>
      </c>
      <c r="E170" s="2">
        <v>9374</v>
      </c>
      <c r="F170" s="2">
        <v>0.13600000000000001</v>
      </c>
      <c r="G170" s="2">
        <v>25</v>
      </c>
      <c r="H170" s="2">
        <v>87.1</v>
      </c>
      <c r="I170" s="2">
        <v>4.01</v>
      </c>
      <c r="J170" s="2">
        <v>0</v>
      </c>
      <c r="K170" s="2">
        <v>3.9</v>
      </c>
      <c r="L170" s="2">
        <v>739831.73</v>
      </c>
      <c r="M170" s="2">
        <v>119490.21</v>
      </c>
      <c r="N170">
        <f t="shared" si="12"/>
        <v>0</v>
      </c>
      <c r="O170">
        <f t="shared" si="13"/>
        <v>0</v>
      </c>
      <c r="P170">
        <f t="shared" si="14"/>
        <v>0</v>
      </c>
      <c r="Q170">
        <f t="shared" si="15"/>
        <v>0</v>
      </c>
      <c r="R170">
        <f t="shared" si="16"/>
        <v>0</v>
      </c>
      <c r="S170">
        <f t="shared" si="17"/>
        <v>1</v>
      </c>
    </row>
    <row r="171" spans="1:19">
      <c r="A171" s="2" t="s">
        <v>64</v>
      </c>
      <c r="B171" s="2" t="s">
        <v>15</v>
      </c>
      <c r="C171" s="2" t="s">
        <v>16</v>
      </c>
      <c r="D171" s="2">
        <v>32834.480000000003</v>
      </c>
      <c r="E171" s="2">
        <v>7576</v>
      </c>
      <c r="F171" s="2">
        <v>9.9000000000000005E-2</v>
      </c>
      <c r="G171" s="2">
        <v>15</v>
      </c>
      <c r="H171" s="2">
        <v>84.1</v>
      </c>
      <c r="I171" s="2">
        <v>4.01</v>
      </c>
      <c r="J171" s="2">
        <v>0</v>
      </c>
      <c r="K171" s="2">
        <v>3.9</v>
      </c>
      <c r="L171" s="2">
        <v>593637.14</v>
      </c>
      <c r="M171" s="2">
        <v>106648.14</v>
      </c>
      <c r="N171">
        <f t="shared" si="12"/>
        <v>0</v>
      </c>
      <c r="O171">
        <f t="shared" si="13"/>
        <v>0</v>
      </c>
      <c r="P171">
        <f t="shared" si="14"/>
        <v>0</v>
      </c>
      <c r="Q171">
        <f t="shared" si="15"/>
        <v>0</v>
      </c>
      <c r="R171">
        <f t="shared" si="16"/>
        <v>0</v>
      </c>
      <c r="S171">
        <f t="shared" si="17"/>
        <v>1</v>
      </c>
    </row>
    <row r="172" spans="1:19">
      <c r="A172" s="2" t="s">
        <v>64</v>
      </c>
      <c r="B172" s="2" t="s">
        <v>15</v>
      </c>
      <c r="C172" s="2" t="s">
        <v>16</v>
      </c>
      <c r="D172" s="2">
        <v>50825.08</v>
      </c>
      <c r="E172" s="2">
        <v>8949</v>
      </c>
      <c r="F172" s="2">
        <v>0.157</v>
      </c>
      <c r="G172" s="2">
        <v>21</v>
      </c>
      <c r="H172" s="2">
        <v>84.7</v>
      </c>
      <c r="I172" s="2">
        <v>4.01</v>
      </c>
      <c r="J172" s="2">
        <v>0</v>
      </c>
      <c r="K172" s="2">
        <v>3.9</v>
      </c>
      <c r="L172" s="2">
        <v>769702.76</v>
      </c>
      <c r="M172" s="2">
        <v>158697</v>
      </c>
      <c r="N172">
        <f t="shared" si="12"/>
        <v>0</v>
      </c>
      <c r="O172">
        <f t="shared" si="13"/>
        <v>0</v>
      </c>
      <c r="P172">
        <f t="shared" si="14"/>
        <v>0</v>
      </c>
      <c r="Q172">
        <f t="shared" si="15"/>
        <v>0</v>
      </c>
      <c r="R172">
        <f t="shared" si="16"/>
        <v>0</v>
      </c>
      <c r="S172">
        <f t="shared" si="17"/>
        <v>1</v>
      </c>
    </row>
    <row r="173" spans="1:19">
      <c r="A173" s="2" t="s">
        <v>64</v>
      </c>
      <c r="B173" s="2" t="s">
        <v>15</v>
      </c>
      <c r="C173" s="2" t="s">
        <v>16</v>
      </c>
      <c r="D173" s="2">
        <v>36606.51</v>
      </c>
      <c r="E173" s="2">
        <v>7671</v>
      </c>
      <c r="F173" s="2">
        <v>0.11799999999999999</v>
      </c>
      <c r="G173" s="2">
        <v>18</v>
      </c>
      <c r="H173" s="2">
        <v>89.8</v>
      </c>
      <c r="I173" s="2">
        <v>4.01</v>
      </c>
      <c r="J173" s="2">
        <v>0</v>
      </c>
      <c r="K173" s="2">
        <v>3.9</v>
      </c>
      <c r="L173" s="2">
        <v>679731.57</v>
      </c>
      <c r="M173" s="2">
        <v>121546.42</v>
      </c>
      <c r="N173">
        <f t="shared" si="12"/>
        <v>0</v>
      </c>
      <c r="O173">
        <f t="shared" si="13"/>
        <v>0</v>
      </c>
      <c r="P173">
        <f t="shared" si="14"/>
        <v>0</v>
      </c>
      <c r="Q173">
        <f t="shared" si="15"/>
        <v>0</v>
      </c>
      <c r="R173">
        <f t="shared" si="16"/>
        <v>0</v>
      </c>
      <c r="S173">
        <f t="shared" si="17"/>
        <v>1</v>
      </c>
    </row>
    <row r="174" spans="1:19">
      <c r="A174" s="2" t="s">
        <v>65</v>
      </c>
      <c r="B174" s="2" t="s">
        <v>15</v>
      </c>
      <c r="C174" s="2" t="s">
        <v>16</v>
      </c>
      <c r="D174" s="2">
        <v>65237.79</v>
      </c>
      <c r="E174" s="2">
        <v>8741</v>
      </c>
      <c r="F174" s="2">
        <v>0.157</v>
      </c>
      <c r="G174" s="2">
        <v>20</v>
      </c>
      <c r="H174" s="2">
        <v>94.4</v>
      </c>
      <c r="I174" s="2">
        <v>4.01</v>
      </c>
      <c r="J174" s="2">
        <v>0</v>
      </c>
      <c r="K174" s="2">
        <v>3.9</v>
      </c>
      <c r="L174" s="2">
        <v>780344.18</v>
      </c>
      <c r="M174" s="2">
        <v>118239.09</v>
      </c>
      <c r="N174">
        <f t="shared" si="12"/>
        <v>0</v>
      </c>
      <c r="O174">
        <f t="shared" si="13"/>
        <v>0</v>
      </c>
      <c r="P174">
        <f t="shared" si="14"/>
        <v>0</v>
      </c>
      <c r="Q174">
        <f t="shared" si="15"/>
        <v>0</v>
      </c>
      <c r="R174">
        <f t="shared" si="16"/>
        <v>0</v>
      </c>
      <c r="S174">
        <f t="shared" si="17"/>
        <v>1</v>
      </c>
    </row>
    <row r="175" spans="1:19">
      <c r="A175" s="2" t="s">
        <v>65</v>
      </c>
      <c r="B175" s="2" t="s">
        <v>15</v>
      </c>
      <c r="C175" s="2" t="s">
        <v>16</v>
      </c>
      <c r="D175" s="2">
        <v>43645.98</v>
      </c>
      <c r="E175" s="2">
        <v>9480</v>
      </c>
      <c r="F175" s="2">
        <v>0.109</v>
      </c>
      <c r="G175" s="2">
        <v>22</v>
      </c>
      <c r="H175" s="2">
        <v>89</v>
      </c>
      <c r="I175" s="2">
        <v>4.01</v>
      </c>
      <c r="J175" s="2">
        <v>0</v>
      </c>
      <c r="K175" s="2">
        <v>3.9</v>
      </c>
      <c r="L175" s="2">
        <v>721364.11</v>
      </c>
      <c r="M175" s="2">
        <v>147272.81</v>
      </c>
      <c r="N175">
        <f t="shared" si="12"/>
        <v>0</v>
      </c>
      <c r="O175">
        <f t="shared" si="13"/>
        <v>0</v>
      </c>
      <c r="P175">
        <f t="shared" si="14"/>
        <v>0</v>
      </c>
      <c r="Q175">
        <f t="shared" si="15"/>
        <v>0</v>
      </c>
      <c r="R175">
        <f t="shared" si="16"/>
        <v>0</v>
      </c>
      <c r="S175">
        <f t="shared" si="17"/>
        <v>1</v>
      </c>
    </row>
    <row r="176" spans="1:19">
      <c r="A176" s="2" t="s">
        <v>65</v>
      </c>
      <c r="B176" s="2" t="s">
        <v>15</v>
      </c>
      <c r="C176" s="2" t="s">
        <v>16</v>
      </c>
      <c r="D176" s="2">
        <v>68040.149999999994</v>
      </c>
      <c r="E176" s="2">
        <v>9826</v>
      </c>
      <c r="F176" s="2">
        <v>0.125</v>
      </c>
      <c r="G176" s="2">
        <v>20</v>
      </c>
      <c r="H176" s="2">
        <v>83.9</v>
      </c>
      <c r="I176" s="2">
        <v>4.01</v>
      </c>
      <c r="J176" s="2">
        <v>0</v>
      </c>
      <c r="K176" s="2">
        <v>3.9</v>
      </c>
      <c r="L176" s="2">
        <v>758138.29</v>
      </c>
      <c r="M176" s="2">
        <v>132975.26</v>
      </c>
      <c r="N176">
        <f t="shared" si="12"/>
        <v>0</v>
      </c>
      <c r="O176">
        <f t="shared" si="13"/>
        <v>0</v>
      </c>
      <c r="P176">
        <f t="shared" si="14"/>
        <v>0</v>
      </c>
      <c r="Q176">
        <f t="shared" si="15"/>
        <v>0</v>
      </c>
      <c r="R176">
        <f t="shared" si="16"/>
        <v>0</v>
      </c>
      <c r="S176">
        <f t="shared" si="17"/>
        <v>1</v>
      </c>
    </row>
    <row r="177" spans="1:19">
      <c r="A177" s="2" t="s">
        <v>65</v>
      </c>
      <c r="B177" s="2" t="s">
        <v>15</v>
      </c>
      <c r="C177" s="2" t="s">
        <v>16</v>
      </c>
      <c r="D177" s="2">
        <v>63043.94</v>
      </c>
      <c r="E177" s="2">
        <v>10402</v>
      </c>
      <c r="F177" s="2">
        <v>0.159</v>
      </c>
      <c r="G177" s="2">
        <v>23</v>
      </c>
      <c r="H177" s="2">
        <v>93.9</v>
      </c>
      <c r="I177" s="2">
        <v>4.01</v>
      </c>
      <c r="J177" s="2">
        <v>0</v>
      </c>
      <c r="K177" s="2">
        <v>3.9</v>
      </c>
      <c r="L177" s="2">
        <v>804264</v>
      </c>
      <c r="M177" s="2">
        <v>167117.91</v>
      </c>
      <c r="N177">
        <f t="shared" si="12"/>
        <v>0</v>
      </c>
      <c r="O177">
        <f t="shared" si="13"/>
        <v>0</v>
      </c>
      <c r="P177">
        <f t="shared" si="14"/>
        <v>0</v>
      </c>
      <c r="Q177">
        <f t="shared" si="15"/>
        <v>0</v>
      </c>
      <c r="R177">
        <f t="shared" si="16"/>
        <v>0</v>
      </c>
      <c r="S177">
        <f t="shared" si="17"/>
        <v>1</v>
      </c>
    </row>
    <row r="178" spans="1:19">
      <c r="A178" s="2" t="s">
        <v>66</v>
      </c>
      <c r="B178" s="2" t="s">
        <v>27</v>
      </c>
      <c r="C178" s="2" t="s">
        <v>21</v>
      </c>
      <c r="D178" s="2">
        <v>67494.09</v>
      </c>
      <c r="E178" s="2">
        <v>12361</v>
      </c>
      <c r="F178" s="2">
        <v>4.5999999999999999E-2</v>
      </c>
      <c r="G178" s="2">
        <v>24</v>
      </c>
      <c r="H178" s="2">
        <v>76.599999999999994</v>
      </c>
      <c r="I178" s="2">
        <v>4.01</v>
      </c>
      <c r="J178" s="2">
        <v>1</v>
      </c>
      <c r="K178" s="2">
        <v>3.9</v>
      </c>
      <c r="L178" s="2">
        <v>887537.75</v>
      </c>
      <c r="M178" s="2">
        <v>160362.92000000001</v>
      </c>
      <c r="N178">
        <f t="shared" si="12"/>
        <v>0</v>
      </c>
      <c r="O178">
        <f t="shared" si="13"/>
        <v>0</v>
      </c>
      <c r="P178">
        <f t="shared" si="14"/>
        <v>1</v>
      </c>
      <c r="Q178">
        <f t="shared" si="15"/>
        <v>0</v>
      </c>
      <c r="R178">
        <f t="shared" si="16"/>
        <v>0</v>
      </c>
      <c r="S178">
        <f t="shared" si="17"/>
        <v>0</v>
      </c>
    </row>
    <row r="179" spans="1:19">
      <c r="A179" s="2" t="s">
        <v>66</v>
      </c>
      <c r="B179" s="2" t="s">
        <v>27</v>
      </c>
      <c r="C179" s="2" t="s">
        <v>21</v>
      </c>
      <c r="D179" s="2">
        <v>29389.32</v>
      </c>
      <c r="E179" s="2">
        <v>7925</v>
      </c>
      <c r="F179" s="2">
        <v>0.17699999999999999</v>
      </c>
      <c r="G179" s="2">
        <v>21</v>
      </c>
      <c r="H179" s="2">
        <v>90.9</v>
      </c>
      <c r="I179" s="2">
        <v>4.01</v>
      </c>
      <c r="J179" s="2">
        <v>0</v>
      </c>
      <c r="K179" s="2">
        <v>3.9</v>
      </c>
      <c r="L179" s="2">
        <v>783582</v>
      </c>
      <c r="M179" s="2">
        <v>130670.93</v>
      </c>
      <c r="N179">
        <f t="shared" si="12"/>
        <v>0</v>
      </c>
      <c r="O179">
        <f t="shared" si="13"/>
        <v>0</v>
      </c>
      <c r="P179">
        <f t="shared" si="14"/>
        <v>1</v>
      </c>
      <c r="Q179">
        <f t="shared" si="15"/>
        <v>0</v>
      </c>
      <c r="R179">
        <f t="shared" si="16"/>
        <v>0</v>
      </c>
      <c r="S179">
        <f t="shared" si="17"/>
        <v>0</v>
      </c>
    </row>
    <row r="180" spans="1:19">
      <c r="A180" s="2" t="s">
        <v>66</v>
      </c>
      <c r="B180" s="2" t="s">
        <v>27</v>
      </c>
      <c r="C180" s="2" t="s">
        <v>21</v>
      </c>
      <c r="D180" s="2">
        <v>40535.089999999997</v>
      </c>
      <c r="E180" s="2">
        <v>8870</v>
      </c>
      <c r="F180" s="2">
        <v>4.1000000000000002E-2</v>
      </c>
      <c r="G180" s="2">
        <v>21</v>
      </c>
      <c r="H180" s="2">
        <v>86.6</v>
      </c>
      <c r="I180" s="2">
        <v>4.01</v>
      </c>
      <c r="J180" s="2">
        <v>0</v>
      </c>
      <c r="K180" s="2">
        <v>3.9</v>
      </c>
      <c r="L180" s="2">
        <v>781955.52</v>
      </c>
      <c r="M180" s="2">
        <v>152578.71</v>
      </c>
      <c r="N180">
        <f t="shared" si="12"/>
        <v>0</v>
      </c>
      <c r="O180">
        <f t="shared" si="13"/>
        <v>0</v>
      </c>
      <c r="P180">
        <f t="shared" si="14"/>
        <v>1</v>
      </c>
      <c r="Q180">
        <f t="shared" si="15"/>
        <v>0</v>
      </c>
      <c r="R180">
        <f t="shared" si="16"/>
        <v>0</v>
      </c>
      <c r="S180">
        <f t="shared" si="17"/>
        <v>0</v>
      </c>
    </row>
    <row r="181" spans="1:19">
      <c r="A181" s="2" t="s">
        <v>66</v>
      </c>
      <c r="B181" s="2" t="s">
        <v>27</v>
      </c>
      <c r="C181" s="2" t="s">
        <v>21</v>
      </c>
      <c r="D181" s="2">
        <v>74881.56</v>
      </c>
      <c r="E181" s="2">
        <v>9999</v>
      </c>
      <c r="F181" s="2">
        <v>1.2999999999999999E-2</v>
      </c>
      <c r="G181" s="2">
        <v>20</v>
      </c>
      <c r="H181" s="2">
        <v>89.6</v>
      </c>
      <c r="I181" s="2">
        <v>4.01</v>
      </c>
      <c r="J181" s="2">
        <v>0</v>
      </c>
      <c r="K181" s="2">
        <v>3.9</v>
      </c>
      <c r="L181" s="2">
        <v>898031.04</v>
      </c>
      <c r="M181" s="2">
        <v>138666.5</v>
      </c>
      <c r="N181">
        <f t="shared" si="12"/>
        <v>0</v>
      </c>
      <c r="O181">
        <f t="shared" si="13"/>
        <v>0</v>
      </c>
      <c r="P181">
        <f t="shared" si="14"/>
        <v>1</v>
      </c>
      <c r="Q181">
        <f t="shared" si="15"/>
        <v>0</v>
      </c>
      <c r="R181">
        <f t="shared" si="16"/>
        <v>0</v>
      </c>
      <c r="S181">
        <f t="shared" si="17"/>
        <v>0</v>
      </c>
    </row>
    <row r="182" spans="1:19">
      <c r="A182" s="2" t="s">
        <v>67</v>
      </c>
      <c r="B182" s="2" t="s">
        <v>27</v>
      </c>
      <c r="C182" s="2" t="s">
        <v>16</v>
      </c>
      <c r="D182" s="2">
        <v>68491.11</v>
      </c>
      <c r="E182" s="2">
        <v>11154</v>
      </c>
      <c r="F182" s="2">
        <v>1E-3</v>
      </c>
      <c r="G182" s="2">
        <v>24</v>
      </c>
      <c r="H182" s="2">
        <v>89.4</v>
      </c>
      <c r="I182" s="2">
        <v>4.01</v>
      </c>
      <c r="J182" s="2">
        <v>1</v>
      </c>
      <c r="K182" s="2">
        <v>3.9</v>
      </c>
      <c r="L182" s="2">
        <v>855341.28</v>
      </c>
      <c r="M182" s="2">
        <v>175823.8</v>
      </c>
      <c r="N182">
        <f t="shared" si="12"/>
        <v>0</v>
      </c>
      <c r="O182">
        <f t="shared" si="13"/>
        <v>0</v>
      </c>
      <c r="P182">
        <f t="shared" si="14"/>
        <v>1</v>
      </c>
      <c r="Q182">
        <f t="shared" si="15"/>
        <v>0</v>
      </c>
      <c r="R182">
        <f t="shared" si="16"/>
        <v>0</v>
      </c>
      <c r="S182">
        <f t="shared" si="17"/>
        <v>1</v>
      </c>
    </row>
    <row r="183" spans="1:19">
      <c r="A183" s="2" t="s">
        <v>67</v>
      </c>
      <c r="B183" s="2" t="s">
        <v>27</v>
      </c>
      <c r="C183" s="2" t="s">
        <v>16</v>
      </c>
      <c r="D183" s="2">
        <v>45209.25</v>
      </c>
      <c r="E183" s="2">
        <v>9287</v>
      </c>
      <c r="F183" s="2">
        <v>0.14099999999999999</v>
      </c>
      <c r="G183" s="2">
        <v>22</v>
      </c>
      <c r="H183" s="2">
        <v>86.4</v>
      </c>
      <c r="I183" s="2">
        <v>4.01</v>
      </c>
      <c r="J183" s="2">
        <v>0</v>
      </c>
      <c r="K183" s="2">
        <v>3.9</v>
      </c>
      <c r="L183" s="2">
        <v>751393.88</v>
      </c>
      <c r="M183" s="2">
        <v>91480.320000000007</v>
      </c>
      <c r="N183">
        <f t="shared" si="12"/>
        <v>0</v>
      </c>
      <c r="O183">
        <f t="shared" si="13"/>
        <v>0</v>
      </c>
      <c r="P183">
        <f t="shared" si="14"/>
        <v>1</v>
      </c>
      <c r="Q183">
        <f t="shared" si="15"/>
        <v>0</v>
      </c>
      <c r="R183">
        <f t="shared" si="16"/>
        <v>0</v>
      </c>
      <c r="S183">
        <f t="shared" si="17"/>
        <v>1</v>
      </c>
    </row>
    <row r="184" spans="1:19">
      <c r="A184" s="2" t="s">
        <v>67</v>
      </c>
      <c r="B184" s="2" t="s">
        <v>27</v>
      </c>
      <c r="C184" s="2" t="s">
        <v>16</v>
      </c>
      <c r="D184" s="2">
        <v>63010.23</v>
      </c>
      <c r="E184" s="2">
        <v>9812</v>
      </c>
      <c r="F184" s="2">
        <v>0.113</v>
      </c>
      <c r="G184" s="2">
        <v>24</v>
      </c>
      <c r="H184" s="2">
        <v>76.8</v>
      </c>
      <c r="I184" s="2">
        <v>4.01</v>
      </c>
      <c r="J184" s="2">
        <v>1</v>
      </c>
      <c r="K184" s="2">
        <v>3.9</v>
      </c>
      <c r="L184" s="2">
        <v>761077.08</v>
      </c>
      <c r="M184" s="2">
        <v>113605.93</v>
      </c>
      <c r="N184">
        <f t="shared" si="12"/>
        <v>0</v>
      </c>
      <c r="O184">
        <f t="shared" si="13"/>
        <v>0</v>
      </c>
      <c r="P184">
        <f t="shared" si="14"/>
        <v>1</v>
      </c>
      <c r="Q184">
        <f t="shared" si="15"/>
        <v>0</v>
      </c>
      <c r="R184">
        <f t="shared" si="16"/>
        <v>0</v>
      </c>
      <c r="S184">
        <f t="shared" si="17"/>
        <v>1</v>
      </c>
    </row>
    <row r="185" spans="1:19">
      <c r="A185" s="2" t="s">
        <v>67</v>
      </c>
      <c r="B185" s="2" t="s">
        <v>27</v>
      </c>
      <c r="C185" s="2" t="s">
        <v>16</v>
      </c>
      <c r="D185" s="2">
        <v>57948.88</v>
      </c>
      <c r="E185" s="2">
        <v>10741</v>
      </c>
      <c r="F185" s="2">
        <v>7.0000000000000007E-2</v>
      </c>
      <c r="G185" s="2">
        <v>25</v>
      </c>
      <c r="H185" s="2">
        <v>90.1</v>
      </c>
      <c r="I185" s="2">
        <v>4.01</v>
      </c>
      <c r="J185" s="2">
        <v>0</v>
      </c>
      <c r="K185" s="2">
        <v>3.9</v>
      </c>
      <c r="L185" s="2">
        <v>819660.59</v>
      </c>
      <c r="M185" s="2">
        <v>172699.95</v>
      </c>
      <c r="N185">
        <f t="shared" si="12"/>
        <v>0</v>
      </c>
      <c r="O185">
        <f t="shared" si="13"/>
        <v>0</v>
      </c>
      <c r="P185">
        <f t="shared" si="14"/>
        <v>1</v>
      </c>
      <c r="Q185">
        <f t="shared" si="15"/>
        <v>0</v>
      </c>
      <c r="R185">
        <f t="shared" si="16"/>
        <v>0</v>
      </c>
      <c r="S185">
        <f t="shared" si="17"/>
        <v>1</v>
      </c>
    </row>
    <row r="186" spans="1:19">
      <c r="A186" s="2" t="s">
        <v>68</v>
      </c>
      <c r="B186" s="2" t="s">
        <v>20</v>
      </c>
      <c r="C186" s="2" t="s">
        <v>18</v>
      </c>
      <c r="D186" s="2">
        <v>71941.62</v>
      </c>
      <c r="E186" s="2">
        <v>6084</v>
      </c>
      <c r="F186" s="2">
        <v>7.1999999999999995E-2</v>
      </c>
      <c r="G186" s="2">
        <v>13</v>
      </c>
      <c r="H186" s="2">
        <v>93.7</v>
      </c>
      <c r="I186" s="2">
        <v>4.01</v>
      </c>
      <c r="J186" s="2">
        <v>0</v>
      </c>
      <c r="K186" s="2">
        <v>3.9</v>
      </c>
      <c r="L186" s="2">
        <v>681855.56</v>
      </c>
      <c r="M186" s="2">
        <v>117645.61</v>
      </c>
      <c r="N186">
        <f t="shared" si="12"/>
        <v>1</v>
      </c>
      <c r="O186">
        <f t="shared" si="13"/>
        <v>0</v>
      </c>
      <c r="P186">
        <f t="shared" si="14"/>
        <v>0</v>
      </c>
      <c r="Q186">
        <f t="shared" si="15"/>
        <v>0</v>
      </c>
      <c r="R186">
        <f t="shared" si="16"/>
        <v>0</v>
      </c>
      <c r="S186">
        <f t="shared" si="17"/>
        <v>0</v>
      </c>
    </row>
    <row r="187" spans="1:19">
      <c r="A187" s="2" t="s">
        <v>68</v>
      </c>
      <c r="B187" s="2" t="s">
        <v>20</v>
      </c>
      <c r="C187" s="2" t="s">
        <v>18</v>
      </c>
      <c r="D187" s="2">
        <v>57147.88</v>
      </c>
      <c r="E187" s="2">
        <v>5252</v>
      </c>
      <c r="F187" s="2">
        <v>0.161</v>
      </c>
      <c r="G187" s="2">
        <v>15</v>
      </c>
      <c r="H187" s="2">
        <v>95.5</v>
      </c>
      <c r="I187" s="2">
        <v>4.01</v>
      </c>
      <c r="J187" s="2">
        <v>0</v>
      </c>
      <c r="K187" s="2">
        <v>3.9</v>
      </c>
      <c r="L187" s="2">
        <v>678311.17</v>
      </c>
      <c r="M187" s="2">
        <v>132029.76000000001</v>
      </c>
      <c r="N187">
        <f t="shared" si="12"/>
        <v>1</v>
      </c>
      <c r="O187">
        <f t="shared" si="13"/>
        <v>0</v>
      </c>
      <c r="P187">
        <f t="shared" si="14"/>
        <v>0</v>
      </c>
      <c r="Q187">
        <f t="shared" si="15"/>
        <v>0</v>
      </c>
      <c r="R187">
        <f t="shared" si="16"/>
        <v>0</v>
      </c>
      <c r="S187">
        <f t="shared" si="17"/>
        <v>0</v>
      </c>
    </row>
    <row r="188" spans="1:19">
      <c r="A188" s="2" t="s">
        <v>68</v>
      </c>
      <c r="B188" s="2" t="s">
        <v>20</v>
      </c>
      <c r="C188" s="2" t="s">
        <v>18</v>
      </c>
      <c r="D188" s="2">
        <v>48031.74</v>
      </c>
      <c r="E188" s="2">
        <v>6516</v>
      </c>
      <c r="F188" s="2">
        <v>6.7000000000000004E-2</v>
      </c>
      <c r="G188" s="2">
        <v>14</v>
      </c>
      <c r="H188" s="2">
        <v>99</v>
      </c>
      <c r="I188" s="2">
        <v>4.01</v>
      </c>
      <c r="J188" s="2">
        <v>1</v>
      </c>
      <c r="K188" s="2">
        <v>3.9</v>
      </c>
      <c r="L188" s="2">
        <v>765906.95</v>
      </c>
      <c r="M188" s="2">
        <v>114005.9</v>
      </c>
      <c r="N188">
        <f t="shared" si="12"/>
        <v>1</v>
      </c>
      <c r="O188">
        <f t="shared" si="13"/>
        <v>0</v>
      </c>
      <c r="P188">
        <f t="shared" si="14"/>
        <v>0</v>
      </c>
      <c r="Q188">
        <f t="shared" si="15"/>
        <v>0</v>
      </c>
      <c r="R188">
        <f t="shared" si="16"/>
        <v>0</v>
      </c>
      <c r="S188">
        <f t="shared" si="17"/>
        <v>0</v>
      </c>
    </row>
    <row r="189" spans="1:19">
      <c r="A189" s="2" t="s">
        <v>68</v>
      </c>
      <c r="B189" s="2" t="s">
        <v>20</v>
      </c>
      <c r="C189" s="2" t="s">
        <v>18</v>
      </c>
      <c r="D189" s="2">
        <v>72784.800000000003</v>
      </c>
      <c r="E189" s="2">
        <v>7932</v>
      </c>
      <c r="F189" s="2">
        <v>9.4E-2</v>
      </c>
      <c r="G189" s="2">
        <v>20</v>
      </c>
      <c r="H189" s="2">
        <v>74.900000000000006</v>
      </c>
      <c r="I189" s="2">
        <v>4.01</v>
      </c>
      <c r="J189" s="2">
        <v>0</v>
      </c>
      <c r="K189" s="2">
        <v>3.9</v>
      </c>
      <c r="L189" s="2">
        <v>712546.38</v>
      </c>
      <c r="M189" s="2">
        <v>101480.04</v>
      </c>
      <c r="N189">
        <f t="shared" si="12"/>
        <v>1</v>
      </c>
      <c r="O189">
        <f t="shared" si="13"/>
        <v>0</v>
      </c>
      <c r="P189">
        <f t="shared" si="14"/>
        <v>0</v>
      </c>
      <c r="Q189">
        <f t="shared" si="15"/>
        <v>0</v>
      </c>
      <c r="R189">
        <f t="shared" si="16"/>
        <v>0</v>
      </c>
      <c r="S189">
        <f t="shared" si="17"/>
        <v>0</v>
      </c>
    </row>
    <row r="190" spans="1:19">
      <c r="A190" s="2" t="s">
        <v>69</v>
      </c>
      <c r="B190" s="2" t="s">
        <v>15</v>
      </c>
      <c r="C190" s="2" t="s">
        <v>18</v>
      </c>
      <c r="D190" s="2">
        <v>71641.899999999994</v>
      </c>
      <c r="E190" s="2">
        <v>3506</v>
      </c>
      <c r="F190" s="2">
        <v>0</v>
      </c>
      <c r="G190" s="2">
        <v>11</v>
      </c>
      <c r="H190" s="2">
        <v>86.4</v>
      </c>
      <c r="I190" s="2">
        <v>4.01</v>
      </c>
      <c r="J190" s="2">
        <v>0</v>
      </c>
      <c r="K190" s="2">
        <v>3.9</v>
      </c>
      <c r="L190" s="2">
        <v>625993.82999999996</v>
      </c>
      <c r="M190" s="2">
        <v>98960.320000000007</v>
      </c>
      <c r="N190">
        <f t="shared" si="12"/>
        <v>0</v>
      </c>
      <c r="O190">
        <f t="shared" si="13"/>
        <v>0</v>
      </c>
      <c r="P190">
        <f t="shared" si="14"/>
        <v>0</v>
      </c>
      <c r="Q190">
        <f t="shared" si="15"/>
        <v>0</v>
      </c>
      <c r="R190">
        <f t="shared" si="16"/>
        <v>0</v>
      </c>
      <c r="S190">
        <f t="shared" si="17"/>
        <v>0</v>
      </c>
    </row>
    <row r="191" spans="1:19">
      <c r="A191" s="2" t="s">
        <v>69</v>
      </c>
      <c r="B191" s="2" t="s">
        <v>15</v>
      </c>
      <c r="C191" s="2" t="s">
        <v>18</v>
      </c>
      <c r="D191" s="2">
        <v>55788.61</v>
      </c>
      <c r="E191" s="2">
        <v>2312</v>
      </c>
      <c r="F191" s="2">
        <v>5.8000000000000003E-2</v>
      </c>
      <c r="G191" s="2">
        <v>10</v>
      </c>
      <c r="H191" s="2">
        <v>91.3</v>
      </c>
      <c r="I191" s="2">
        <v>4.01</v>
      </c>
      <c r="J191" s="2">
        <v>0</v>
      </c>
      <c r="K191" s="2">
        <v>3.9</v>
      </c>
      <c r="L191" s="2">
        <v>550962.93000000005</v>
      </c>
      <c r="M191" s="2">
        <v>97144.58</v>
      </c>
      <c r="N191">
        <f t="shared" si="12"/>
        <v>0</v>
      </c>
      <c r="O191">
        <f t="shared" si="13"/>
        <v>0</v>
      </c>
      <c r="P191">
        <f t="shared" si="14"/>
        <v>0</v>
      </c>
      <c r="Q191">
        <f t="shared" si="15"/>
        <v>0</v>
      </c>
      <c r="R191">
        <f t="shared" si="16"/>
        <v>0</v>
      </c>
      <c r="S191">
        <f t="shared" si="17"/>
        <v>0</v>
      </c>
    </row>
    <row r="192" spans="1:19">
      <c r="A192" s="2" t="s">
        <v>69</v>
      </c>
      <c r="B192" s="2" t="s">
        <v>15</v>
      </c>
      <c r="C192" s="2" t="s">
        <v>18</v>
      </c>
      <c r="D192" s="2">
        <v>37705.879999999997</v>
      </c>
      <c r="E192" s="2">
        <v>1268</v>
      </c>
      <c r="F192" s="2">
        <v>0.25900000000000001</v>
      </c>
      <c r="G192" s="2">
        <v>9</v>
      </c>
      <c r="H192" s="2">
        <v>84.1</v>
      </c>
      <c r="I192" s="2">
        <v>4.01</v>
      </c>
      <c r="J192" s="2">
        <v>0</v>
      </c>
      <c r="K192" s="2">
        <v>3.9</v>
      </c>
      <c r="L192" s="2">
        <v>443275.59</v>
      </c>
      <c r="M192" s="2">
        <v>53544.36</v>
      </c>
      <c r="N192">
        <f t="shared" si="12"/>
        <v>0</v>
      </c>
      <c r="O192">
        <f t="shared" si="13"/>
        <v>0</v>
      </c>
      <c r="P192">
        <f t="shared" si="14"/>
        <v>0</v>
      </c>
      <c r="Q192">
        <f t="shared" si="15"/>
        <v>0</v>
      </c>
      <c r="R192">
        <f t="shared" si="16"/>
        <v>0</v>
      </c>
      <c r="S192">
        <f t="shared" si="17"/>
        <v>0</v>
      </c>
    </row>
    <row r="193" spans="1:19">
      <c r="A193" s="2" t="s">
        <v>69</v>
      </c>
      <c r="B193" s="2" t="s">
        <v>15</v>
      </c>
      <c r="C193" s="2" t="s">
        <v>18</v>
      </c>
      <c r="D193" s="2">
        <v>54966.18</v>
      </c>
      <c r="E193" s="2">
        <v>4423</v>
      </c>
      <c r="F193" s="2">
        <v>0.186</v>
      </c>
      <c r="G193" s="2">
        <v>13</v>
      </c>
      <c r="H193" s="2">
        <v>88.7</v>
      </c>
      <c r="I193" s="2">
        <v>4.01</v>
      </c>
      <c r="J193" s="2">
        <v>0</v>
      </c>
      <c r="K193" s="2">
        <v>3.9</v>
      </c>
      <c r="L193" s="2">
        <v>554012.06999999995</v>
      </c>
      <c r="M193" s="2">
        <v>81101.62</v>
      </c>
      <c r="N193">
        <f t="shared" si="12"/>
        <v>0</v>
      </c>
      <c r="O193">
        <f t="shared" si="13"/>
        <v>0</v>
      </c>
      <c r="P193">
        <f t="shared" si="14"/>
        <v>0</v>
      </c>
      <c r="Q193">
        <f t="shared" si="15"/>
        <v>0</v>
      </c>
      <c r="R193">
        <f t="shared" si="16"/>
        <v>0</v>
      </c>
      <c r="S193">
        <f t="shared" si="17"/>
        <v>0</v>
      </c>
    </row>
    <row r="194" spans="1:19">
      <c r="A194" s="2" t="s">
        <v>70</v>
      </c>
      <c r="B194" s="2" t="s">
        <v>27</v>
      </c>
      <c r="C194" s="2" t="s">
        <v>16</v>
      </c>
      <c r="D194" s="2">
        <v>81796.740000000005</v>
      </c>
      <c r="E194" s="2">
        <v>6177</v>
      </c>
      <c r="F194" s="2">
        <v>0.16400000000000001</v>
      </c>
      <c r="G194" s="2">
        <v>14</v>
      </c>
      <c r="H194" s="2">
        <v>87.9</v>
      </c>
      <c r="I194" s="2">
        <v>4.01</v>
      </c>
      <c r="J194" s="2">
        <v>0</v>
      </c>
      <c r="K194" s="2">
        <v>3.9</v>
      </c>
      <c r="L194" s="2">
        <v>643428.85</v>
      </c>
      <c r="M194" s="2">
        <v>94477.63</v>
      </c>
      <c r="N194">
        <f t="shared" ref="N194:N257" si="18">IF(B194="North",1,0)</f>
        <v>0</v>
      </c>
      <c r="O194">
        <f t="shared" ref="O194:O257" si="19">IF(B194="South",1,0)</f>
        <v>0</v>
      </c>
      <c r="P194">
        <f t="shared" ref="P194:P257" si="20">IF(B194="West",1,0)</f>
        <v>1</v>
      </c>
      <c r="Q194">
        <f t="shared" ref="Q194:Q257" si="21">IF(C194="HighStreet",1,0)</f>
        <v>0</v>
      </c>
      <c r="R194">
        <f t="shared" ref="R194:R257" si="22">IF(C194="Mall",1,0)</f>
        <v>0</v>
      </c>
      <c r="S194">
        <f t="shared" ref="S194:S257" si="23">IF(C194="Residential",1,0)</f>
        <v>1</v>
      </c>
    </row>
    <row r="195" spans="1:19">
      <c r="A195" s="2" t="s">
        <v>70</v>
      </c>
      <c r="B195" s="2" t="s">
        <v>27</v>
      </c>
      <c r="C195" s="2" t="s">
        <v>16</v>
      </c>
      <c r="D195" s="2">
        <v>51133.43</v>
      </c>
      <c r="E195" s="2">
        <v>5150</v>
      </c>
      <c r="F195" s="2">
        <v>0.15</v>
      </c>
      <c r="G195" s="2">
        <v>12</v>
      </c>
      <c r="H195" s="2">
        <v>88.5</v>
      </c>
      <c r="I195" s="2">
        <v>4.01</v>
      </c>
      <c r="J195" s="2">
        <v>0</v>
      </c>
      <c r="K195" s="2">
        <v>3.9</v>
      </c>
      <c r="L195" s="2">
        <v>611924.27</v>
      </c>
      <c r="M195" s="2">
        <v>115488.75</v>
      </c>
      <c r="N195">
        <f t="shared" si="18"/>
        <v>0</v>
      </c>
      <c r="O195">
        <f t="shared" si="19"/>
        <v>0</v>
      </c>
      <c r="P195">
        <f t="shared" si="20"/>
        <v>1</v>
      </c>
      <c r="Q195">
        <f t="shared" si="21"/>
        <v>0</v>
      </c>
      <c r="R195">
        <f t="shared" si="22"/>
        <v>0</v>
      </c>
      <c r="S195">
        <f t="shared" si="23"/>
        <v>1</v>
      </c>
    </row>
    <row r="196" spans="1:19">
      <c r="A196" s="2" t="s">
        <v>70</v>
      </c>
      <c r="B196" s="2" t="s">
        <v>27</v>
      </c>
      <c r="C196" s="2" t="s">
        <v>16</v>
      </c>
      <c r="D196" s="2">
        <v>40220.18</v>
      </c>
      <c r="E196" s="2">
        <v>3783</v>
      </c>
      <c r="F196" s="2">
        <v>8.8999999999999996E-2</v>
      </c>
      <c r="G196" s="2">
        <v>14</v>
      </c>
      <c r="H196" s="2">
        <v>86.6</v>
      </c>
      <c r="I196" s="2">
        <v>4.01</v>
      </c>
      <c r="J196" s="2">
        <v>0</v>
      </c>
      <c r="K196" s="2">
        <v>3.9</v>
      </c>
      <c r="L196" s="2">
        <v>559422.02</v>
      </c>
      <c r="M196" s="2">
        <v>73528.740000000005</v>
      </c>
      <c r="N196">
        <f t="shared" si="18"/>
        <v>0</v>
      </c>
      <c r="O196">
        <f t="shared" si="19"/>
        <v>0</v>
      </c>
      <c r="P196">
        <f t="shared" si="20"/>
        <v>1</v>
      </c>
      <c r="Q196">
        <f t="shared" si="21"/>
        <v>0</v>
      </c>
      <c r="R196">
        <f t="shared" si="22"/>
        <v>0</v>
      </c>
      <c r="S196">
        <f t="shared" si="23"/>
        <v>1</v>
      </c>
    </row>
    <row r="197" spans="1:19">
      <c r="A197" s="2" t="s">
        <v>70</v>
      </c>
      <c r="B197" s="2" t="s">
        <v>27</v>
      </c>
      <c r="C197" s="2" t="s">
        <v>16</v>
      </c>
      <c r="D197" s="2">
        <v>41657.64</v>
      </c>
      <c r="E197" s="2">
        <v>3135</v>
      </c>
      <c r="F197" s="2">
        <v>0.22900000000000001</v>
      </c>
      <c r="G197" s="2">
        <v>7</v>
      </c>
      <c r="H197" s="2">
        <v>85.4</v>
      </c>
      <c r="I197" s="2">
        <v>4.01</v>
      </c>
      <c r="J197" s="2">
        <v>0</v>
      </c>
      <c r="K197" s="2">
        <v>3.9</v>
      </c>
      <c r="L197" s="2">
        <v>449465.06</v>
      </c>
      <c r="M197" s="2">
        <v>65694.78</v>
      </c>
      <c r="N197">
        <f t="shared" si="18"/>
        <v>0</v>
      </c>
      <c r="O197">
        <f t="shared" si="19"/>
        <v>0</v>
      </c>
      <c r="P197">
        <f t="shared" si="20"/>
        <v>1</v>
      </c>
      <c r="Q197">
        <f t="shared" si="21"/>
        <v>0</v>
      </c>
      <c r="R197">
        <f t="shared" si="22"/>
        <v>0</v>
      </c>
      <c r="S197">
        <f t="shared" si="23"/>
        <v>1</v>
      </c>
    </row>
    <row r="198" spans="1:19">
      <c r="A198" s="2" t="s">
        <v>71</v>
      </c>
      <c r="B198" s="2" t="s">
        <v>20</v>
      </c>
      <c r="C198" s="2" t="s">
        <v>16</v>
      </c>
      <c r="D198" s="2">
        <v>71851.45</v>
      </c>
      <c r="E198" s="2">
        <v>4970</v>
      </c>
      <c r="F198" s="2">
        <v>9.8000000000000004E-2</v>
      </c>
      <c r="G198" s="2">
        <v>11</v>
      </c>
      <c r="H198" s="2">
        <v>89.6</v>
      </c>
      <c r="I198" s="2">
        <v>4.01</v>
      </c>
      <c r="J198" s="2">
        <v>0</v>
      </c>
      <c r="K198" s="2">
        <v>3.9</v>
      </c>
      <c r="L198" s="2">
        <v>691447.43</v>
      </c>
      <c r="M198" s="2">
        <v>114077.69</v>
      </c>
      <c r="N198">
        <f t="shared" si="18"/>
        <v>1</v>
      </c>
      <c r="O198">
        <f t="shared" si="19"/>
        <v>0</v>
      </c>
      <c r="P198">
        <f t="shared" si="20"/>
        <v>0</v>
      </c>
      <c r="Q198">
        <f t="shared" si="21"/>
        <v>0</v>
      </c>
      <c r="R198">
        <f t="shared" si="22"/>
        <v>0</v>
      </c>
      <c r="S198">
        <f t="shared" si="23"/>
        <v>1</v>
      </c>
    </row>
    <row r="199" spans="1:19">
      <c r="A199" s="2" t="s">
        <v>71</v>
      </c>
      <c r="B199" s="2" t="s">
        <v>20</v>
      </c>
      <c r="C199" s="2" t="s">
        <v>16</v>
      </c>
      <c r="D199" s="2">
        <v>54002.83</v>
      </c>
      <c r="E199" s="2">
        <v>4366</v>
      </c>
      <c r="F199" s="2">
        <v>2.7E-2</v>
      </c>
      <c r="G199" s="2">
        <v>15</v>
      </c>
      <c r="H199" s="2">
        <v>90.6</v>
      </c>
      <c r="I199" s="2">
        <v>4.01</v>
      </c>
      <c r="J199" s="2">
        <v>0</v>
      </c>
      <c r="K199" s="2">
        <v>3.9</v>
      </c>
      <c r="L199" s="2">
        <v>574066.61</v>
      </c>
      <c r="M199" s="2">
        <v>124674.67</v>
      </c>
      <c r="N199">
        <f t="shared" si="18"/>
        <v>1</v>
      </c>
      <c r="O199">
        <f t="shared" si="19"/>
        <v>0</v>
      </c>
      <c r="P199">
        <f t="shared" si="20"/>
        <v>0</v>
      </c>
      <c r="Q199">
        <f t="shared" si="21"/>
        <v>0</v>
      </c>
      <c r="R199">
        <f t="shared" si="22"/>
        <v>0</v>
      </c>
      <c r="S199">
        <f t="shared" si="23"/>
        <v>1</v>
      </c>
    </row>
    <row r="200" spans="1:19">
      <c r="A200" s="2" t="s">
        <v>71</v>
      </c>
      <c r="B200" s="2" t="s">
        <v>20</v>
      </c>
      <c r="C200" s="2" t="s">
        <v>16</v>
      </c>
      <c r="D200" s="2">
        <v>54479.33</v>
      </c>
      <c r="E200" s="2">
        <v>5012</v>
      </c>
      <c r="F200" s="2">
        <v>0.28399999999999997</v>
      </c>
      <c r="G200" s="2">
        <v>13</v>
      </c>
      <c r="H200" s="2">
        <v>86</v>
      </c>
      <c r="I200" s="2">
        <v>4.01</v>
      </c>
      <c r="J200" s="2">
        <v>1</v>
      </c>
      <c r="K200" s="2">
        <v>3.9</v>
      </c>
      <c r="L200" s="2">
        <v>578949.84</v>
      </c>
      <c r="M200" s="2">
        <v>80253.649999999994</v>
      </c>
      <c r="N200">
        <f t="shared" si="18"/>
        <v>1</v>
      </c>
      <c r="O200">
        <f t="shared" si="19"/>
        <v>0</v>
      </c>
      <c r="P200">
        <f t="shared" si="20"/>
        <v>0</v>
      </c>
      <c r="Q200">
        <f t="shared" si="21"/>
        <v>0</v>
      </c>
      <c r="R200">
        <f t="shared" si="22"/>
        <v>0</v>
      </c>
      <c r="S200">
        <f t="shared" si="23"/>
        <v>1</v>
      </c>
    </row>
    <row r="201" spans="1:19">
      <c r="A201" s="2" t="s">
        <v>71</v>
      </c>
      <c r="B201" s="2" t="s">
        <v>20</v>
      </c>
      <c r="C201" s="2" t="s">
        <v>16</v>
      </c>
      <c r="D201" s="2">
        <v>61391.8</v>
      </c>
      <c r="E201" s="2">
        <v>5575</v>
      </c>
      <c r="F201" s="2">
        <v>0.189</v>
      </c>
      <c r="G201" s="2">
        <v>18</v>
      </c>
      <c r="H201" s="2">
        <v>90</v>
      </c>
      <c r="I201" s="2">
        <v>4.01</v>
      </c>
      <c r="J201" s="2">
        <v>0</v>
      </c>
      <c r="K201" s="2">
        <v>3.9</v>
      </c>
      <c r="L201" s="2">
        <v>735786.64</v>
      </c>
      <c r="M201" s="2">
        <v>126540.66</v>
      </c>
      <c r="N201">
        <f t="shared" si="18"/>
        <v>1</v>
      </c>
      <c r="O201">
        <f t="shared" si="19"/>
        <v>0</v>
      </c>
      <c r="P201">
        <f t="shared" si="20"/>
        <v>0</v>
      </c>
      <c r="Q201">
        <f t="shared" si="21"/>
        <v>0</v>
      </c>
      <c r="R201">
        <f t="shared" si="22"/>
        <v>0</v>
      </c>
      <c r="S201">
        <f t="shared" si="23"/>
        <v>1</v>
      </c>
    </row>
    <row r="202" spans="1:19">
      <c r="A202" s="2" t="s">
        <v>72</v>
      </c>
      <c r="B202" s="2" t="s">
        <v>15</v>
      </c>
      <c r="C202" s="2" t="s">
        <v>21</v>
      </c>
      <c r="D202" s="2">
        <v>22312.93</v>
      </c>
      <c r="E202" s="2">
        <v>5955</v>
      </c>
      <c r="F202" s="2">
        <v>0.123</v>
      </c>
      <c r="G202" s="2">
        <v>13</v>
      </c>
      <c r="H202" s="2">
        <v>84.2</v>
      </c>
      <c r="I202" s="2">
        <v>4.01</v>
      </c>
      <c r="J202" s="2">
        <v>1</v>
      </c>
      <c r="K202" s="2">
        <v>3.9</v>
      </c>
      <c r="L202" s="2">
        <v>598904.9</v>
      </c>
      <c r="M202" s="2">
        <v>72861</v>
      </c>
      <c r="N202">
        <f t="shared" si="18"/>
        <v>0</v>
      </c>
      <c r="O202">
        <f t="shared" si="19"/>
        <v>0</v>
      </c>
      <c r="P202">
        <f t="shared" si="20"/>
        <v>0</v>
      </c>
      <c r="Q202">
        <f t="shared" si="21"/>
        <v>0</v>
      </c>
      <c r="R202">
        <f t="shared" si="22"/>
        <v>0</v>
      </c>
      <c r="S202">
        <f t="shared" si="23"/>
        <v>0</v>
      </c>
    </row>
    <row r="203" spans="1:19">
      <c r="A203" s="2" t="s">
        <v>72</v>
      </c>
      <c r="B203" s="2" t="s">
        <v>15</v>
      </c>
      <c r="C203" s="2" t="s">
        <v>21</v>
      </c>
      <c r="D203" s="2">
        <v>78111.97</v>
      </c>
      <c r="E203" s="2">
        <v>6389</v>
      </c>
      <c r="F203" s="2">
        <v>0.15</v>
      </c>
      <c r="G203" s="2">
        <v>13</v>
      </c>
      <c r="H203" s="2">
        <v>83.9</v>
      </c>
      <c r="I203" s="2">
        <v>4.01</v>
      </c>
      <c r="J203" s="2">
        <v>0</v>
      </c>
      <c r="K203" s="2">
        <v>3.9</v>
      </c>
      <c r="L203" s="2">
        <v>787715.51</v>
      </c>
      <c r="M203" s="2">
        <v>128969.62</v>
      </c>
      <c r="N203">
        <f t="shared" si="18"/>
        <v>0</v>
      </c>
      <c r="O203">
        <f t="shared" si="19"/>
        <v>0</v>
      </c>
      <c r="P203">
        <f t="shared" si="20"/>
        <v>0</v>
      </c>
      <c r="Q203">
        <f t="shared" si="21"/>
        <v>0</v>
      </c>
      <c r="R203">
        <f t="shared" si="22"/>
        <v>0</v>
      </c>
      <c r="S203">
        <f t="shared" si="23"/>
        <v>0</v>
      </c>
    </row>
    <row r="204" spans="1:19">
      <c r="A204" s="2" t="s">
        <v>72</v>
      </c>
      <c r="B204" s="2" t="s">
        <v>15</v>
      </c>
      <c r="C204" s="2" t="s">
        <v>21</v>
      </c>
      <c r="D204" s="2">
        <v>35203.230000000003</v>
      </c>
      <c r="E204" s="2">
        <v>6896</v>
      </c>
      <c r="F204" s="2">
        <v>3.2000000000000001E-2</v>
      </c>
      <c r="G204" s="2">
        <v>14</v>
      </c>
      <c r="H204" s="2">
        <v>80.8</v>
      </c>
      <c r="I204" s="2">
        <v>4.01</v>
      </c>
      <c r="J204" s="2">
        <v>1</v>
      </c>
      <c r="K204" s="2">
        <v>3.9</v>
      </c>
      <c r="L204" s="2">
        <v>607084.92000000004</v>
      </c>
      <c r="M204" s="2">
        <v>98558.49</v>
      </c>
      <c r="N204">
        <f t="shared" si="18"/>
        <v>0</v>
      </c>
      <c r="O204">
        <f t="shared" si="19"/>
        <v>0</v>
      </c>
      <c r="P204">
        <f t="shared" si="20"/>
        <v>0</v>
      </c>
      <c r="Q204">
        <f t="shared" si="21"/>
        <v>0</v>
      </c>
      <c r="R204">
        <f t="shared" si="22"/>
        <v>0</v>
      </c>
      <c r="S204">
        <f t="shared" si="23"/>
        <v>0</v>
      </c>
    </row>
    <row r="205" spans="1:19">
      <c r="A205" s="2" t="s">
        <v>72</v>
      </c>
      <c r="B205" s="2" t="s">
        <v>15</v>
      </c>
      <c r="C205" s="2" t="s">
        <v>21</v>
      </c>
      <c r="D205" s="2">
        <v>64104.28</v>
      </c>
      <c r="E205" s="2">
        <v>6015</v>
      </c>
      <c r="F205" s="2">
        <v>0.127</v>
      </c>
      <c r="G205" s="2">
        <v>15</v>
      </c>
      <c r="H205" s="2">
        <v>88.7</v>
      </c>
      <c r="I205" s="2">
        <v>4.01</v>
      </c>
      <c r="J205" s="2">
        <v>0</v>
      </c>
      <c r="K205" s="2">
        <v>3.9</v>
      </c>
      <c r="L205" s="2">
        <v>650795.49</v>
      </c>
      <c r="M205" s="2">
        <v>103035.89</v>
      </c>
      <c r="N205">
        <f t="shared" si="18"/>
        <v>0</v>
      </c>
      <c r="O205">
        <f t="shared" si="19"/>
        <v>0</v>
      </c>
      <c r="P205">
        <f t="shared" si="20"/>
        <v>0</v>
      </c>
      <c r="Q205">
        <f t="shared" si="21"/>
        <v>0</v>
      </c>
      <c r="R205">
        <f t="shared" si="22"/>
        <v>0</v>
      </c>
      <c r="S205">
        <f t="shared" si="23"/>
        <v>0</v>
      </c>
    </row>
    <row r="206" spans="1:19">
      <c r="A206" s="2" t="s">
        <v>73</v>
      </c>
      <c r="B206" s="2" t="s">
        <v>15</v>
      </c>
      <c r="C206" s="2" t="s">
        <v>28</v>
      </c>
      <c r="D206" s="2">
        <v>92090.14</v>
      </c>
      <c r="E206" s="2">
        <v>9476</v>
      </c>
      <c r="F206" s="2">
        <v>7.0000000000000007E-2</v>
      </c>
      <c r="G206" s="2">
        <v>24</v>
      </c>
      <c r="H206" s="2">
        <v>94.3</v>
      </c>
      <c r="I206" s="2">
        <v>4.01</v>
      </c>
      <c r="J206" s="2">
        <v>0</v>
      </c>
      <c r="K206" s="2">
        <v>3.9</v>
      </c>
      <c r="L206" s="2">
        <v>825060.52</v>
      </c>
      <c r="M206" s="2">
        <v>143613.15</v>
      </c>
      <c r="N206">
        <f t="shared" si="18"/>
        <v>0</v>
      </c>
      <c r="O206">
        <f t="shared" si="19"/>
        <v>0</v>
      </c>
      <c r="P206">
        <f t="shared" si="20"/>
        <v>0</v>
      </c>
      <c r="Q206">
        <f t="shared" si="21"/>
        <v>0</v>
      </c>
      <c r="R206">
        <f t="shared" si="22"/>
        <v>1</v>
      </c>
      <c r="S206">
        <f t="shared" si="23"/>
        <v>0</v>
      </c>
    </row>
    <row r="207" spans="1:19">
      <c r="A207" s="2" t="s">
        <v>73</v>
      </c>
      <c r="B207" s="2" t="s">
        <v>15</v>
      </c>
      <c r="C207" s="2" t="s">
        <v>28</v>
      </c>
      <c r="D207" s="2">
        <v>54300.87</v>
      </c>
      <c r="E207" s="2">
        <v>7875</v>
      </c>
      <c r="F207" s="2">
        <v>0.107</v>
      </c>
      <c r="G207" s="2">
        <v>19</v>
      </c>
      <c r="H207" s="2">
        <v>94.1</v>
      </c>
      <c r="I207" s="2">
        <v>4.01</v>
      </c>
      <c r="J207" s="2">
        <v>0</v>
      </c>
      <c r="K207" s="2">
        <v>3.9</v>
      </c>
      <c r="L207" s="2">
        <v>795464.47</v>
      </c>
      <c r="M207" s="2">
        <v>161150.51999999999</v>
      </c>
      <c r="N207">
        <f t="shared" si="18"/>
        <v>0</v>
      </c>
      <c r="O207">
        <f t="shared" si="19"/>
        <v>0</v>
      </c>
      <c r="P207">
        <f t="shared" si="20"/>
        <v>0</v>
      </c>
      <c r="Q207">
        <f t="shared" si="21"/>
        <v>0</v>
      </c>
      <c r="R207">
        <f t="shared" si="22"/>
        <v>1</v>
      </c>
      <c r="S207">
        <f t="shared" si="23"/>
        <v>0</v>
      </c>
    </row>
    <row r="208" spans="1:19">
      <c r="A208" s="2" t="s">
        <v>73</v>
      </c>
      <c r="B208" s="2" t="s">
        <v>15</v>
      </c>
      <c r="C208" s="2" t="s">
        <v>28</v>
      </c>
      <c r="D208" s="2">
        <v>37983.35</v>
      </c>
      <c r="E208" s="2">
        <v>9283</v>
      </c>
      <c r="F208" s="2">
        <v>0.14899999999999999</v>
      </c>
      <c r="G208" s="2">
        <v>19</v>
      </c>
      <c r="H208" s="2">
        <v>83.2</v>
      </c>
      <c r="I208" s="2">
        <v>4.01</v>
      </c>
      <c r="J208" s="2">
        <v>0</v>
      </c>
      <c r="K208" s="2">
        <v>3.9</v>
      </c>
      <c r="L208" s="2">
        <v>671868.59</v>
      </c>
      <c r="M208" s="2">
        <v>71003.28</v>
      </c>
      <c r="N208">
        <f t="shared" si="18"/>
        <v>0</v>
      </c>
      <c r="O208">
        <f t="shared" si="19"/>
        <v>0</v>
      </c>
      <c r="P208">
        <f t="shared" si="20"/>
        <v>0</v>
      </c>
      <c r="Q208">
        <f t="shared" si="21"/>
        <v>0</v>
      </c>
      <c r="R208">
        <f t="shared" si="22"/>
        <v>1</v>
      </c>
      <c r="S208">
        <f t="shared" si="23"/>
        <v>0</v>
      </c>
    </row>
    <row r="209" spans="1:19">
      <c r="A209" s="2" t="s">
        <v>73</v>
      </c>
      <c r="B209" s="2" t="s">
        <v>15</v>
      </c>
      <c r="C209" s="2" t="s">
        <v>28</v>
      </c>
      <c r="D209" s="2">
        <v>56413.83</v>
      </c>
      <c r="E209" s="2">
        <v>8303</v>
      </c>
      <c r="F209" s="2">
        <v>0.11600000000000001</v>
      </c>
      <c r="G209" s="2">
        <v>18</v>
      </c>
      <c r="H209" s="2">
        <v>93.6</v>
      </c>
      <c r="I209" s="2">
        <v>4.01</v>
      </c>
      <c r="J209" s="2">
        <v>0</v>
      </c>
      <c r="K209" s="2">
        <v>3.9</v>
      </c>
      <c r="L209" s="2">
        <v>675917.63</v>
      </c>
      <c r="M209" s="2">
        <v>112564.75</v>
      </c>
      <c r="N209">
        <f t="shared" si="18"/>
        <v>0</v>
      </c>
      <c r="O209">
        <f t="shared" si="19"/>
        <v>0</v>
      </c>
      <c r="P209">
        <f t="shared" si="20"/>
        <v>0</v>
      </c>
      <c r="Q209">
        <f t="shared" si="21"/>
        <v>0</v>
      </c>
      <c r="R209">
        <f t="shared" si="22"/>
        <v>1</v>
      </c>
      <c r="S209">
        <f t="shared" si="23"/>
        <v>0</v>
      </c>
    </row>
    <row r="210" spans="1:19">
      <c r="A210" s="2" t="s">
        <v>74</v>
      </c>
      <c r="B210" s="2" t="s">
        <v>15</v>
      </c>
      <c r="C210" s="2" t="s">
        <v>18</v>
      </c>
      <c r="D210" s="2">
        <v>63457.19</v>
      </c>
      <c r="E210" s="2">
        <v>10125</v>
      </c>
      <c r="F210" s="2">
        <v>9.7000000000000003E-2</v>
      </c>
      <c r="G210" s="2">
        <v>24</v>
      </c>
      <c r="H210" s="2">
        <v>87</v>
      </c>
      <c r="I210" s="2">
        <v>4.01</v>
      </c>
      <c r="J210" s="2">
        <v>1</v>
      </c>
      <c r="K210" s="2">
        <v>3.9</v>
      </c>
      <c r="L210" s="2">
        <v>810446.53</v>
      </c>
      <c r="M210" s="2">
        <v>200575.34</v>
      </c>
      <c r="N210">
        <f t="shared" si="18"/>
        <v>0</v>
      </c>
      <c r="O210">
        <f t="shared" si="19"/>
        <v>0</v>
      </c>
      <c r="P210">
        <f t="shared" si="20"/>
        <v>0</v>
      </c>
      <c r="Q210">
        <f t="shared" si="21"/>
        <v>0</v>
      </c>
      <c r="R210">
        <f t="shared" si="22"/>
        <v>0</v>
      </c>
      <c r="S210">
        <f t="shared" si="23"/>
        <v>0</v>
      </c>
    </row>
    <row r="211" spans="1:19">
      <c r="A211" s="2" t="s">
        <v>74</v>
      </c>
      <c r="B211" s="2" t="s">
        <v>15</v>
      </c>
      <c r="C211" s="2" t="s">
        <v>18</v>
      </c>
      <c r="D211" s="2">
        <v>62949.7</v>
      </c>
      <c r="E211" s="2">
        <v>9458</v>
      </c>
      <c r="F211" s="2">
        <v>0.17100000000000001</v>
      </c>
      <c r="G211" s="2">
        <v>19</v>
      </c>
      <c r="H211" s="2">
        <v>84.9</v>
      </c>
      <c r="I211" s="2">
        <v>4.01</v>
      </c>
      <c r="J211" s="2">
        <v>0</v>
      </c>
      <c r="K211" s="2">
        <v>3.9</v>
      </c>
      <c r="L211" s="2">
        <v>691288.19</v>
      </c>
      <c r="M211" s="2">
        <v>159074.14000000001</v>
      </c>
      <c r="N211">
        <f t="shared" si="18"/>
        <v>0</v>
      </c>
      <c r="O211">
        <f t="shared" si="19"/>
        <v>0</v>
      </c>
      <c r="P211">
        <f t="shared" si="20"/>
        <v>0</v>
      </c>
      <c r="Q211">
        <f t="shared" si="21"/>
        <v>0</v>
      </c>
      <c r="R211">
        <f t="shared" si="22"/>
        <v>0</v>
      </c>
      <c r="S211">
        <f t="shared" si="23"/>
        <v>0</v>
      </c>
    </row>
    <row r="212" spans="1:19">
      <c r="A212" s="2" t="s">
        <v>74</v>
      </c>
      <c r="B212" s="2" t="s">
        <v>15</v>
      </c>
      <c r="C212" s="2" t="s">
        <v>18</v>
      </c>
      <c r="D212" s="2">
        <v>107970.19</v>
      </c>
      <c r="E212" s="2">
        <v>12870</v>
      </c>
      <c r="F212" s="2">
        <v>2.9000000000000001E-2</v>
      </c>
      <c r="G212" s="2">
        <v>31</v>
      </c>
      <c r="H212" s="2">
        <v>91.7</v>
      </c>
      <c r="I212" s="2">
        <v>4.01</v>
      </c>
      <c r="J212" s="2">
        <v>1</v>
      </c>
      <c r="K212" s="2">
        <v>3.9</v>
      </c>
      <c r="L212" s="2">
        <v>946833.54</v>
      </c>
      <c r="M212" s="2">
        <v>184540.31</v>
      </c>
      <c r="N212">
        <f t="shared" si="18"/>
        <v>0</v>
      </c>
      <c r="O212">
        <f t="shared" si="19"/>
        <v>0</v>
      </c>
      <c r="P212">
        <f t="shared" si="20"/>
        <v>0</v>
      </c>
      <c r="Q212">
        <f t="shared" si="21"/>
        <v>0</v>
      </c>
      <c r="R212">
        <f t="shared" si="22"/>
        <v>0</v>
      </c>
      <c r="S212">
        <f t="shared" si="23"/>
        <v>0</v>
      </c>
    </row>
    <row r="213" spans="1:19">
      <c r="A213" s="2" t="s">
        <v>74</v>
      </c>
      <c r="B213" s="2" t="s">
        <v>15</v>
      </c>
      <c r="C213" s="2" t="s">
        <v>18</v>
      </c>
      <c r="D213" s="2">
        <v>49405.75</v>
      </c>
      <c r="E213" s="2">
        <v>9752</v>
      </c>
      <c r="F213" s="2">
        <v>9.2999999999999999E-2</v>
      </c>
      <c r="G213" s="2">
        <v>21</v>
      </c>
      <c r="H213" s="2">
        <v>87</v>
      </c>
      <c r="I213" s="2">
        <v>4.01</v>
      </c>
      <c r="J213" s="2">
        <v>0</v>
      </c>
      <c r="K213" s="2">
        <v>3.9</v>
      </c>
      <c r="L213" s="2">
        <v>761963.23</v>
      </c>
      <c r="M213" s="2">
        <v>150113.60999999999</v>
      </c>
      <c r="N213">
        <f t="shared" si="18"/>
        <v>0</v>
      </c>
      <c r="O213">
        <f t="shared" si="19"/>
        <v>0</v>
      </c>
      <c r="P213">
        <f t="shared" si="20"/>
        <v>0</v>
      </c>
      <c r="Q213">
        <f t="shared" si="21"/>
        <v>0</v>
      </c>
      <c r="R213">
        <f t="shared" si="22"/>
        <v>0</v>
      </c>
      <c r="S213">
        <f t="shared" si="23"/>
        <v>0</v>
      </c>
    </row>
    <row r="214" spans="1:19">
      <c r="A214" s="2" t="s">
        <v>75</v>
      </c>
      <c r="B214" s="2" t="s">
        <v>27</v>
      </c>
      <c r="C214" s="2" t="s">
        <v>16</v>
      </c>
      <c r="D214" s="2">
        <v>50887.46</v>
      </c>
      <c r="E214" s="2">
        <v>9505</v>
      </c>
      <c r="F214" s="2">
        <v>9.0999999999999998E-2</v>
      </c>
      <c r="G214" s="2">
        <v>25</v>
      </c>
      <c r="H214" s="2">
        <v>89.7</v>
      </c>
      <c r="I214" s="2">
        <v>4.01</v>
      </c>
      <c r="J214" s="2">
        <v>0</v>
      </c>
      <c r="K214" s="2">
        <v>3.9</v>
      </c>
      <c r="L214" s="2">
        <v>812152.6</v>
      </c>
      <c r="M214" s="2">
        <v>138419.43</v>
      </c>
      <c r="N214">
        <f t="shared" si="18"/>
        <v>0</v>
      </c>
      <c r="O214">
        <f t="shared" si="19"/>
        <v>0</v>
      </c>
      <c r="P214">
        <f t="shared" si="20"/>
        <v>1</v>
      </c>
      <c r="Q214">
        <f t="shared" si="21"/>
        <v>0</v>
      </c>
      <c r="R214">
        <f t="shared" si="22"/>
        <v>0</v>
      </c>
      <c r="S214">
        <f t="shared" si="23"/>
        <v>1</v>
      </c>
    </row>
    <row r="215" spans="1:19">
      <c r="A215" s="2" t="s">
        <v>75</v>
      </c>
      <c r="B215" s="2" t="s">
        <v>27</v>
      </c>
      <c r="C215" s="2" t="s">
        <v>16</v>
      </c>
      <c r="D215" s="2">
        <v>41819.449999999997</v>
      </c>
      <c r="E215" s="2">
        <v>9412</v>
      </c>
      <c r="F215" s="2">
        <v>0.15</v>
      </c>
      <c r="G215" s="2">
        <v>22</v>
      </c>
      <c r="H215" s="2">
        <v>91</v>
      </c>
      <c r="I215" s="2">
        <v>4.01</v>
      </c>
      <c r="J215" s="2">
        <v>0</v>
      </c>
      <c r="K215" s="2">
        <v>3.9</v>
      </c>
      <c r="L215" s="2">
        <v>804975.5</v>
      </c>
      <c r="M215" s="2">
        <v>140054.5</v>
      </c>
      <c r="N215">
        <f t="shared" si="18"/>
        <v>0</v>
      </c>
      <c r="O215">
        <f t="shared" si="19"/>
        <v>0</v>
      </c>
      <c r="P215">
        <f t="shared" si="20"/>
        <v>1</v>
      </c>
      <c r="Q215">
        <f t="shared" si="21"/>
        <v>0</v>
      </c>
      <c r="R215">
        <f t="shared" si="22"/>
        <v>0</v>
      </c>
      <c r="S215">
        <f t="shared" si="23"/>
        <v>1</v>
      </c>
    </row>
    <row r="216" spans="1:19">
      <c r="A216" s="2" t="s">
        <v>75</v>
      </c>
      <c r="B216" s="2" t="s">
        <v>27</v>
      </c>
      <c r="C216" s="2" t="s">
        <v>16</v>
      </c>
      <c r="D216" s="2">
        <v>35296.54</v>
      </c>
      <c r="E216" s="2">
        <v>9644</v>
      </c>
      <c r="F216" s="2">
        <v>0</v>
      </c>
      <c r="G216" s="2">
        <v>22</v>
      </c>
      <c r="H216" s="2">
        <v>88</v>
      </c>
      <c r="I216" s="2">
        <v>4.01</v>
      </c>
      <c r="J216" s="2">
        <v>0</v>
      </c>
      <c r="K216" s="2">
        <v>3.9</v>
      </c>
      <c r="L216" s="2">
        <v>752321.72</v>
      </c>
      <c r="M216" s="2">
        <v>137788.51</v>
      </c>
      <c r="N216">
        <f t="shared" si="18"/>
        <v>0</v>
      </c>
      <c r="O216">
        <f t="shared" si="19"/>
        <v>0</v>
      </c>
      <c r="P216">
        <f t="shared" si="20"/>
        <v>1</v>
      </c>
      <c r="Q216">
        <f t="shared" si="21"/>
        <v>0</v>
      </c>
      <c r="R216">
        <f t="shared" si="22"/>
        <v>0</v>
      </c>
      <c r="S216">
        <f t="shared" si="23"/>
        <v>1</v>
      </c>
    </row>
    <row r="217" spans="1:19">
      <c r="A217" s="2" t="s">
        <v>75</v>
      </c>
      <c r="B217" s="2" t="s">
        <v>27</v>
      </c>
      <c r="C217" s="2" t="s">
        <v>16</v>
      </c>
      <c r="D217" s="2">
        <v>47391.09</v>
      </c>
      <c r="E217" s="2">
        <v>11224</v>
      </c>
      <c r="F217" s="2">
        <v>0.14699999999999999</v>
      </c>
      <c r="G217" s="2">
        <v>25</v>
      </c>
      <c r="H217" s="2">
        <v>88.4</v>
      </c>
      <c r="I217" s="2">
        <v>4.01</v>
      </c>
      <c r="J217" s="2">
        <v>0</v>
      </c>
      <c r="K217" s="2">
        <v>3.9</v>
      </c>
      <c r="L217" s="2">
        <v>836908.24</v>
      </c>
      <c r="M217" s="2">
        <v>141090.26</v>
      </c>
      <c r="N217">
        <f t="shared" si="18"/>
        <v>0</v>
      </c>
      <c r="O217">
        <f t="shared" si="19"/>
        <v>0</v>
      </c>
      <c r="P217">
        <f t="shared" si="20"/>
        <v>1</v>
      </c>
      <c r="Q217">
        <f t="shared" si="21"/>
        <v>0</v>
      </c>
      <c r="R217">
        <f t="shared" si="22"/>
        <v>0</v>
      </c>
      <c r="S217">
        <f t="shared" si="23"/>
        <v>1</v>
      </c>
    </row>
    <row r="218" spans="1:19">
      <c r="A218" s="2" t="s">
        <v>76</v>
      </c>
      <c r="B218" s="2" t="s">
        <v>20</v>
      </c>
      <c r="C218" s="2" t="s">
        <v>21</v>
      </c>
      <c r="D218" s="2">
        <v>69180.539999999994</v>
      </c>
      <c r="E218" s="2">
        <v>5394</v>
      </c>
      <c r="F218" s="2">
        <v>0.126</v>
      </c>
      <c r="G218" s="2">
        <v>12</v>
      </c>
      <c r="H218" s="2">
        <v>82.9</v>
      </c>
      <c r="I218" s="2">
        <v>4.01</v>
      </c>
      <c r="J218" s="2">
        <v>0</v>
      </c>
      <c r="K218" s="2">
        <v>3.9</v>
      </c>
      <c r="L218" s="2">
        <v>674289.1</v>
      </c>
      <c r="M218" s="2">
        <v>117773.79</v>
      </c>
      <c r="N218">
        <f t="shared" si="18"/>
        <v>1</v>
      </c>
      <c r="O218">
        <f t="shared" si="19"/>
        <v>0</v>
      </c>
      <c r="P218">
        <f t="shared" si="20"/>
        <v>0</v>
      </c>
      <c r="Q218">
        <f t="shared" si="21"/>
        <v>0</v>
      </c>
      <c r="R218">
        <f t="shared" si="22"/>
        <v>0</v>
      </c>
      <c r="S218">
        <f t="shared" si="23"/>
        <v>0</v>
      </c>
    </row>
    <row r="219" spans="1:19">
      <c r="A219" s="2" t="s">
        <v>76</v>
      </c>
      <c r="B219" s="2" t="s">
        <v>20</v>
      </c>
      <c r="C219" s="2" t="s">
        <v>21</v>
      </c>
      <c r="D219" s="2">
        <v>33987.33</v>
      </c>
      <c r="E219" s="2">
        <v>5014</v>
      </c>
      <c r="F219" s="2">
        <v>0.246</v>
      </c>
      <c r="G219" s="2">
        <v>17</v>
      </c>
      <c r="H219" s="2">
        <v>94.3</v>
      </c>
      <c r="I219" s="2">
        <v>4.01</v>
      </c>
      <c r="J219" s="2">
        <v>0</v>
      </c>
      <c r="K219" s="2">
        <v>3.9</v>
      </c>
      <c r="L219" s="2">
        <v>622892.42000000004</v>
      </c>
      <c r="M219" s="2">
        <v>101032.52</v>
      </c>
      <c r="N219">
        <f t="shared" si="18"/>
        <v>1</v>
      </c>
      <c r="O219">
        <f t="shared" si="19"/>
        <v>0</v>
      </c>
      <c r="P219">
        <f t="shared" si="20"/>
        <v>0</v>
      </c>
      <c r="Q219">
        <f t="shared" si="21"/>
        <v>0</v>
      </c>
      <c r="R219">
        <f t="shared" si="22"/>
        <v>0</v>
      </c>
      <c r="S219">
        <f t="shared" si="23"/>
        <v>0</v>
      </c>
    </row>
    <row r="220" spans="1:19">
      <c r="A220" s="2" t="s">
        <v>76</v>
      </c>
      <c r="B220" s="2" t="s">
        <v>20</v>
      </c>
      <c r="C220" s="2" t="s">
        <v>21</v>
      </c>
      <c r="D220" s="2">
        <v>58785.33</v>
      </c>
      <c r="E220" s="2">
        <v>4467</v>
      </c>
      <c r="F220" s="2">
        <v>0.22900000000000001</v>
      </c>
      <c r="G220" s="2">
        <v>14</v>
      </c>
      <c r="H220" s="2">
        <v>90.7</v>
      </c>
      <c r="I220" s="2">
        <v>4.01</v>
      </c>
      <c r="J220" s="2">
        <v>0</v>
      </c>
      <c r="K220" s="2">
        <v>3.9</v>
      </c>
      <c r="L220" s="2">
        <v>673348.56</v>
      </c>
      <c r="M220" s="2">
        <v>69464.59</v>
      </c>
      <c r="N220">
        <f t="shared" si="18"/>
        <v>1</v>
      </c>
      <c r="O220">
        <f t="shared" si="19"/>
        <v>0</v>
      </c>
      <c r="P220">
        <f t="shared" si="20"/>
        <v>0</v>
      </c>
      <c r="Q220">
        <f t="shared" si="21"/>
        <v>0</v>
      </c>
      <c r="R220">
        <f t="shared" si="22"/>
        <v>0</v>
      </c>
      <c r="S220">
        <f t="shared" si="23"/>
        <v>0</v>
      </c>
    </row>
    <row r="221" spans="1:19">
      <c r="A221" s="2" t="s">
        <v>76</v>
      </c>
      <c r="B221" s="2" t="s">
        <v>20</v>
      </c>
      <c r="C221" s="2" t="s">
        <v>21</v>
      </c>
      <c r="D221" s="2">
        <v>16451.849999999999</v>
      </c>
      <c r="E221" s="2">
        <v>4678</v>
      </c>
      <c r="F221" s="2">
        <v>0.13300000000000001</v>
      </c>
      <c r="G221" s="2">
        <v>11</v>
      </c>
      <c r="H221" s="2">
        <v>95.9</v>
      </c>
      <c r="I221" s="2">
        <v>4.01</v>
      </c>
      <c r="J221" s="2">
        <v>0</v>
      </c>
      <c r="K221" s="2">
        <v>3.9</v>
      </c>
      <c r="L221" s="2">
        <v>606278.30000000005</v>
      </c>
      <c r="M221" s="2">
        <v>102213.26</v>
      </c>
      <c r="N221">
        <f t="shared" si="18"/>
        <v>1</v>
      </c>
      <c r="O221">
        <f t="shared" si="19"/>
        <v>0</v>
      </c>
      <c r="P221">
        <f t="shared" si="20"/>
        <v>0</v>
      </c>
      <c r="Q221">
        <f t="shared" si="21"/>
        <v>0</v>
      </c>
      <c r="R221">
        <f t="shared" si="22"/>
        <v>0</v>
      </c>
      <c r="S221">
        <f t="shared" si="23"/>
        <v>0</v>
      </c>
    </row>
    <row r="222" spans="1:19">
      <c r="A222" s="2" t="s">
        <v>77</v>
      </c>
      <c r="B222" s="2" t="s">
        <v>15</v>
      </c>
      <c r="C222" s="2" t="s">
        <v>18</v>
      </c>
      <c r="D222" s="2">
        <v>53367.73</v>
      </c>
      <c r="E222" s="2">
        <v>7291</v>
      </c>
      <c r="F222" s="2">
        <v>0.14599999999999999</v>
      </c>
      <c r="G222" s="2">
        <v>18</v>
      </c>
      <c r="H222" s="2">
        <v>90.6</v>
      </c>
      <c r="I222" s="2">
        <v>4.01</v>
      </c>
      <c r="J222" s="2">
        <v>1</v>
      </c>
      <c r="K222" s="2">
        <v>3.9</v>
      </c>
      <c r="L222" s="2">
        <v>712219.81</v>
      </c>
      <c r="M222" s="2">
        <v>85906.54</v>
      </c>
      <c r="N222">
        <f t="shared" si="18"/>
        <v>0</v>
      </c>
      <c r="O222">
        <f t="shared" si="19"/>
        <v>0</v>
      </c>
      <c r="P222">
        <f t="shared" si="20"/>
        <v>0</v>
      </c>
      <c r="Q222">
        <f t="shared" si="21"/>
        <v>0</v>
      </c>
      <c r="R222">
        <f t="shared" si="22"/>
        <v>0</v>
      </c>
      <c r="S222">
        <f t="shared" si="23"/>
        <v>0</v>
      </c>
    </row>
    <row r="223" spans="1:19">
      <c r="A223" s="2" t="s">
        <v>77</v>
      </c>
      <c r="B223" s="2" t="s">
        <v>15</v>
      </c>
      <c r="C223" s="2" t="s">
        <v>18</v>
      </c>
      <c r="D223" s="2">
        <v>27194.639999999999</v>
      </c>
      <c r="E223" s="2">
        <v>7404</v>
      </c>
      <c r="F223" s="2">
        <v>8.7999999999999995E-2</v>
      </c>
      <c r="G223" s="2">
        <v>18</v>
      </c>
      <c r="H223" s="2">
        <v>90.2</v>
      </c>
      <c r="I223" s="2">
        <v>4.01</v>
      </c>
      <c r="J223" s="2">
        <v>0</v>
      </c>
      <c r="K223" s="2">
        <v>3.9</v>
      </c>
      <c r="L223" s="2">
        <v>672670.54</v>
      </c>
      <c r="M223" s="2">
        <v>132684.18</v>
      </c>
      <c r="N223">
        <f t="shared" si="18"/>
        <v>0</v>
      </c>
      <c r="O223">
        <f t="shared" si="19"/>
        <v>0</v>
      </c>
      <c r="P223">
        <f t="shared" si="20"/>
        <v>0</v>
      </c>
      <c r="Q223">
        <f t="shared" si="21"/>
        <v>0</v>
      </c>
      <c r="R223">
        <f t="shared" si="22"/>
        <v>0</v>
      </c>
      <c r="S223">
        <f t="shared" si="23"/>
        <v>0</v>
      </c>
    </row>
    <row r="224" spans="1:19">
      <c r="A224" s="2" t="s">
        <v>77</v>
      </c>
      <c r="B224" s="2" t="s">
        <v>15</v>
      </c>
      <c r="C224" s="2" t="s">
        <v>18</v>
      </c>
      <c r="D224" s="2">
        <v>66962.740000000005</v>
      </c>
      <c r="E224" s="2">
        <v>7880</v>
      </c>
      <c r="F224" s="2">
        <v>0.11600000000000001</v>
      </c>
      <c r="G224" s="2">
        <v>19</v>
      </c>
      <c r="H224" s="2">
        <v>90.4</v>
      </c>
      <c r="I224" s="2">
        <v>4.01</v>
      </c>
      <c r="J224" s="2">
        <v>0</v>
      </c>
      <c r="K224" s="2">
        <v>3.9</v>
      </c>
      <c r="L224" s="2">
        <v>732667.92</v>
      </c>
      <c r="M224" s="2">
        <v>128654.46</v>
      </c>
      <c r="N224">
        <f t="shared" si="18"/>
        <v>0</v>
      </c>
      <c r="O224">
        <f t="shared" si="19"/>
        <v>0</v>
      </c>
      <c r="P224">
        <f t="shared" si="20"/>
        <v>0</v>
      </c>
      <c r="Q224">
        <f t="shared" si="21"/>
        <v>0</v>
      </c>
      <c r="R224">
        <f t="shared" si="22"/>
        <v>0</v>
      </c>
      <c r="S224">
        <f t="shared" si="23"/>
        <v>0</v>
      </c>
    </row>
    <row r="225" spans="1:19">
      <c r="A225" s="2" t="s">
        <v>77</v>
      </c>
      <c r="B225" s="2" t="s">
        <v>15</v>
      </c>
      <c r="C225" s="2" t="s">
        <v>18</v>
      </c>
      <c r="D225" s="2">
        <v>73540.990000000005</v>
      </c>
      <c r="E225" s="2">
        <v>8773</v>
      </c>
      <c r="F225" s="2">
        <v>3.5000000000000003E-2</v>
      </c>
      <c r="G225" s="2">
        <v>21</v>
      </c>
      <c r="H225" s="2">
        <v>84.4</v>
      </c>
      <c r="I225" s="2">
        <v>4.01</v>
      </c>
      <c r="J225" s="2">
        <v>0</v>
      </c>
      <c r="K225" s="2">
        <v>3.9</v>
      </c>
      <c r="L225" s="2">
        <v>723531.4</v>
      </c>
      <c r="M225" s="2">
        <v>108794.85</v>
      </c>
      <c r="N225">
        <f t="shared" si="18"/>
        <v>0</v>
      </c>
      <c r="O225">
        <f t="shared" si="19"/>
        <v>0</v>
      </c>
      <c r="P225">
        <f t="shared" si="20"/>
        <v>0</v>
      </c>
      <c r="Q225">
        <f t="shared" si="21"/>
        <v>0</v>
      </c>
      <c r="R225">
        <f t="shared" si="22"/>
        <v>0</v>
      </c>
      <c r="S225">
        <f t="shared" si="23"/>
        <v>0</v>
      </c>
    </row>
    <row r="226" spans="1:19">
      <c r="A226" s="2" t="s">
        <v>78</v>
      </c>
      <c r="B226" s="2" t="s">
        <v>15</v>
      </c>
      <c r="C226" s="2" t="s">
        <v>28</v>
      </c>
      <c r="D226" s="2">
        <v>68212.289999999994</v>
      </c>
      <c r="E226" s="2">
        <v>4713</v>
      </c>
      <c r="F226" s="2">
        <v>0.19800000000000001</v>
      </c>
      <c r="G226" s="2">
        <v>15</v>
      </c>
      <c r="H226" s="2">
        <v>82.6</v>
      </c>
      <c r="I226" s="2">
        <v>4.01</v>
      </c>
      <c r="J226" s="2">
        <v>1</v>
      </c>
      <c r="K226" s="2">
        <v>3.9</v>
      </c>
      <c r="L226" s="2">
        <v>641564.6</v>
      </c>
      <c r="M226" s="2">
        <v>90468.96</v>
      </c>
      <c r="N226">
        <f t="shared" si="18"/>
        <v>0</v>
      </c>
      <c r="O226">
        <f t="shared" si="19"/>
        <v>0</v>
      </c>
      <c r="P226">
        <f t="shared" si="20"/>
        <v>0</v>
      </c>
      <c r="Q226">
        <f t="shared" si="21"/>
        <v>0</v>
      </c>
      <c r="R226">
        <f t="shared" si="22"/>
        <v>1</v>
      </c>
      <c r="S226">
        <f t="shared" si="23"/>
        <v>0</v>
      </c>
    </row>
    <row r="227" spans="1:19">
      <c r="A227" s="2" t="s">
        <v>78</v>
      </c>
      <c r="B227" s="2" t="s">
        <v>15</v>
      </c>
      <c r="C227" s="2" t="s">
        <v>28</v>
      </c>
      <c r="D227" s="2">
        <v>57225.98</v>
      </c>
      <c r="E227" s="2">
        <v>2842</v>
      </c>
      <c r="F227" s="2">
        <v>0.112</v>
      </c>
      <c r="G227" s="2">
        <v>10</v>
      </c>
      <c r="H227" s="2">
        <v>79.5</v>
      </c>
      <c r="I227" s="2">
        <v>4.01</v>
      </c>
      <c r="J227" s="2">
        <v>0</v>
      </c>
      <c r="K227" s="2">
        <v>3.9</v>
      </c>
      <c r="L227" s="2">
        <v>536545.49</v>
      </c>
      <c r="M227" s="2">
        <v>97917.45</v>
      </c>
      <c r="N227">
        <f t="shared" si="18"/>
        <v>0</v>
      </c>
      <c r="O227">
        <f t="shared" si="19"/>
        <v>0</v>
      </c>
      <c r="P227">
        <f t="shared" si="20"/>
        <v>0</v>
      </c>
      <c r="Q227">
        <f t="shared" si="21"/>
        <v>0</v>
      </c>
      <c r="R227">
        <f t="shared" si="22"/>
        <v>1</v>
      </c>
      <c r="S227">
        <f t="shared" si="23"/>
        <v>0</v>
      </c>
    </row>
    <row r="228" spans="1:19">
      <c r="A228" s="2" t="s">
        <v>78</v>
      </c>
      <c r="B228" s="2" t="s">
        <v>15</v>
      </c>
      <c r="C228" s="2" t="s">
        <v>28</v>
      </c>
      <c r="D228" s="2">
        <v>42932.02</v>
      </c>
      <c r="E228" s="2">
        <v>3872</v>
      </c>
      <c r="F228" s="2">
        <v>0.17100000000000001</v>
      </c>
      <c r="G228" s="2">
        <v>12</v>
      </c>
      <c r="H228" s="2">
        <v>83.2</v>
      </c>
      <c r="I228" s="2">
        <v>4.01</v>
      </c>
      <c r="J228" s="2">
        <v>0</v>
      </c>
      <c r="K228" s="2">
        <v>3.9</v>
      </c>
      <c r="L228" s="2">
        <v>527681.56000000006</v>
      </c>
      <c r="M228" s="2">
        <v>63153.05</v>
      </c>
      <c r="N228">
        <f t="shared" si="18"/>
        <v>0</v>
      </c>
      <c r="O228">
        <f t="shared" si="19"/>
        <v>0</v>
      </c>
      <c r="P228">
        <f t="shared" si="20"/>
        <v>0</v>
      </c>
      <c r="Q228">
        <f t="shared" si="21"/>
        <v>0</v>
      </c>
      <c r="R228">
        <f t="shared" si="22"/>
        <v>1</v>
      </c>
      <c r="S228">
        <f t="shared" si="23"/>
        <v>0</v>
      </c>
    </row>
    <row r="229" spans="1:19">
      <c r="A229" s="2" t="s">
        <v>78</v>
      </c>
      <c r="B229" s="2" t="s">
        <v>15</v>
      </c>
      <c r="C229" s="2" t="s">
        <v>28</v>
      </c>
      <c r="D229" s="2">
        <v>39341.449999999997</v>
      </c>
      <c r="E229" s="2">
        <v>1375</v>
      </c>
      <c r="F229" s="2">
        <v>9.2999999999999999E-2</v>
      </c>
      <c r="G229" s="2">
        <v>5</v>
      </c>
      <c r="H229" s="2">
        <v>95</v>
      </c>
      <c r="I229" s="2">
        <v>4.01</v>
      </c>
      <c r="J229" s="2">
        <v>0</v>
      </c>
      <c r="K229" s="2">
        <v>3.9</v>
      </c>
      <c r="L229" s="2">
        <v>529598.93999999994</v>
      </c>
      <c r="M229" s="2">
        <v>84334.33</v>
      </c>
      <c r="N229">
        <f t="shared" si="18"/>
        <v>0</v>
      </c>
      <c r="O229">
        <f t="shared" si="19"/>
        <v>0</v>
      </c>
      <c r="P229">
        <f t="shared" si="20"/>
        <v>0</v>
      </c>
      <c r="Q229">
        <f t="shared" si="21"/>
        <v>0</v>
      </c>
      <c r="R229">
        <f t="shared" si="22"/>
        <v>1</v>
      </c>
      <c r="S229">
        <f t="shared" si="23"/>
        <v>0</v>
      </c>
    </row>
    <row r="230" spans="1:19">
      <c r="A230" s="2" t="s">
        <v>79</v>
      </c>
      <c r="B230" s="2" t="s">
        <v>15</v>
      </c>
      <c r="C230" s="2" t="s">
        <v>18</v>
      </c>
      <c r="D230" s="2">
        <v>37324.230000000003</v>
      </c>
      <c r="E230" s="2">
        <v>5957</v>
      </c>
      <c r="F230" s="2">
        <v>7.0999999999999994E-2</v>
      </c>
      <c r="G230" s="2">
        <v>12</v>
      </c>
      <c r="H230" s="2">
        <v>85.9</v>
      </c>
      <c r="I230" s="2">
        <v>4.01</v>
      </c>
      <c r="J230" s="2">
        <v>0</v>
      </c>
      <c r="K230" s="2">
        <v>3.9</v>
      </c>
      <c r="L230" s="2">
        <v>570963.31000000006</v>
      </c>
      <c r="M230" s="2">
        <v>87342.25</v>
      </c>
      <c r="N230">
        <f t="shared" si="18"/>
        <v>0</v>
      </c>
      <c r="O230">
        <f t="shared" si="19"/>
        <v>0</v>
      </c>
      <c r="P230">
        <f t="shared" si="20"/>
        <v>0</v>
      </c>
      <c r="Q230">
        <f t="shared" si="21"/>
        <v>0</v>
      </c>
      <c r="R230">
        <f t="shared" si="22"/>
        <v>0</v>
      </c>
      <c r="S230">
        <f t="shared" si="23"/>
        <v>0</v>
      </c>
    </row>
    <row r="231" spans="1:19">
      <c r="A231" s="2" t="s">
        <v>79</v>
      </c>
      <c r="B231" s="2" t="s">
        <v>15</v>
      </c>
      <c r="C231" s="2" t="s">
        <v>18</v>
      </c>
      <c r="D231" s="2">
        <v>113736</v>
      </c>
      <c r="E231" s="2">
        <v>8961</v>
      </c>
      <c r="F231" s="2">
        <v>0.20200000000000001</v>
      </c>
      <c r="G231" s="2">
        <v>24</v>
      </c>
      <c r="H231" s="2">
        <v>86.2</v>
      </c>
      <c r="I231" s="2">
        <v>4.01</v>
      </c>
      <c r="J231" s="2">
        <v>0</v>
      </c>
      <c r="K231" s="2">
        <v>3.9</v>
      </c>
      <c r="L231" s="2">
        <v>870937.4</v>
      </c>
      <c r="M231" s="2">
        <v>175282.74</v>
      </c>
      <c r="N231">
        <f t="shared" si="18"/>
        <v>0</v>
      </c>
      <c r="O231">
        <f t="shared" si="19"/>
        <v>0</v>
      </c>
      <c r="P231">
        <f t="shared" si="20"/>
        <v>0</v>
      </c>
      <c r="Q231">
        <f t="shared" si="21"/>
        <v>0</v>
      </c>
      <c r="R231">
        <f t="shared" si="22"/>
        <v>0</v>
      </c>
      <c r="S231">
        <f t="shared" si="23"/>
        <v>0</v>
      </c>
    </row>
    <row r="232" spans="1:19">
      <c r="A232" s="2" t="s">
        <v>79</v>
      </c>
      <c r="B232" s="2" t="s">
        <v>15</v>
      </c>
      <c r="C232" s="2" t="s">
        <v>18</v>
      </c>
      <c r="D232" s="2">
        <v>33173.949999999997</v>
      </c>
      <c r="E232" s="2">
        <v>6545</v>
      </c>
      <c r="F232" s="2">
        <v>0.16900000000000001</v>
      </c>
      <c r="G232" s="2">
        <v>15</v>
      </c>
      <c r="H232" s="2">
        <v>84.4</v>
      </c>
      <c r="I232" s="2">
        <v>4.01</v>
      </c>
      <c r="J232" s="2">
        <v>0</v>
      </c>
      <c r="K232" s="2">
        <v>3.9</v>
      </c>
      <c r="L232" s="2">
        <v>596969.27</v>
      </c>
      <c r="M232" s="2">
        <v>105669.51</v>
      </c>
      <c r="N232">
        <f t="shared" si="18"/>
        <v>0</v>
      </c>
      <c r="O232">
        <f t="shared" si="19"/>
        <v>0</v>
      </c>
      <c r="P232">
        <f t="shared" si="20"/>
        <v>0</v>
      </c>
      <c r="Q232">
        <f t="shared" si="21"/>
        <v>0</v>
      </c>
      <c r="R232">
        <f t="shared" si="22"/>
        <v>0</v>
      </c>
      <c r="S232">
        <f t="shared" si="23"/>
        <v>0</v>
      </c>
    </row>
    <row r="233" spans="1:19">
      <c r="A233" s="2" t="s">
        <v>79</v>
      </c>
      <c r="B233" s="2" t="s">
        <v>15</v>
      </c>
      <c r="C233" s="2" t="s">
        <v>18</v>
      </c>
      <c r="D233" s="2">
        <v>25818.080000000002</v>
      </c>
      <c r="E233" s="2">
        <v>5457</v>
      </c>
      <c r="F233" s="2">
        <v>0</v>
      </c>
      <c r="G233" s="2">
        <v>11</v>
      </c>
      <c r="H233" s="2">
        <v>95.4</v>
      </c>
      <c r="I233" s="2">
        <v>4.01</v>
      </c>
      <c r="J233" s="2">
        <v>0</v>
      </c>
      <c r="K233" s="2">
        <v>3.9</v>
      </c>
      <c r="L233" s="2">
        <v>647512.85</v>
      </c>
      <c r="M233" s="2">
        <v>153835.57</v>
      </c>
      <c r="N233">
        <f t="shared" si="18"/>
        <v>0</v>
      </c>
      <c r="O233">
        <f t="shared" si="19"/>
        <v>0</v>
      </c>
      <c r="P233">
        <f t="shared" si="20"/>
        <v>0</v>
      </c>
      <c r="Q233">
        <f t="shared" si="21"/>
        <v>0</v>
      </c>
      <c r="R233">
        <f t="shared" si="22"/>
        <v>0</v>
      </c>
      <c r="S233">
        <f t="shared" si="23"/>
        <v>0</v>
      </c>
    </row>
    <row r="234" spans="1:19">
      <c r="A234" s="2" t="s">
        <v>80</v>
      </c>
      <c r="B234" s="2" t="s">
        <v>27</v>
      </c>
      <c r="C234" s="2" t="s">
        <v>16</v>
      </c>
      <c r="D234" s="2">
        <v>47241.919999999998</v>
      </c>
      <c r="E234" s="2">
        <v>4264</v>
      </c>
      <c r="F234" s="2">
        <v>6.9000000000000006E-2</v>
      </c>
      <c r="G234" s="2">
        <v>13</v>
      </c>
      <c r="H234" s="2">
        <v>95.3</v>
      </c>
      <c r="I234" s="2">
        <v>4.01</v>
      </c>
      <c r="J234" s="2">
        <v>0</v>
      </c>
      <c r="K234" s="2">
        <v>3.9</v>
      </c>
      <c r="L234" s="2">
        <v>658072.14</v>
      </c>
      <c r="M234" s="2">
        <v>110595.89</v>
      </c>
      <c r="N234">
        <f t="shared" si="18"/>
        <v>0</v>
      </c>
      <c r="O234">
        <f t="shared" si="19"/>
        <v>0</v>
      </c>
      <c r="P234">
        <f t="shared" si="20"/>
        <v>1</v>
      </c>
      <c r="Q234">
        <f t="shared" si="21"/>
        <v>0</v>
      </c>
      <c r="R234">
        <f t="shared" si="22"/>
        <v>0</v>
      </c>
      <c r="S234">
        <f t="shared" si="23"/>
        <v>1</v>
      </c>
    </row>
    <row r="235" spans="1:19">
      <c r="A235" s="2" t="s">
        <v>80</v>
      </c>
      <c r="B235" s="2" t="s">
        <v>27</v>
      </c>
      <c r="C235" s="2" t="s">
        <v>16</v>
      </c>
      <c r="D235" s="2">
        <v>61650.79</v>
      </c>
      <c r="E235" s="2">
        <v>5321</v>
      </c>
      <c r="F235" s="2">
        <v>0.126</v>
      </c>
      <c r="G235" s="2">
        <v>17</v>
      </c>
      <c r="H235" s="2">
        <v>89.2</v>
      </c>
      <c r="I235" s="2">
        <v>4.01</v>
      </c>
      <c r="J235" s="2">
        <v>0</v>
      </c>
      <c r="K235" s="2">
        <v>3.9</v>
      </c>
      <c r="L235" s="2">
        <v>723305.11</v>
      </c>
      <c r="M235" s="2">
        <v>128468.7</v>
      </c>
      <c r="N235">
        <f t="shared" si="18"/>
        <v>0</v>
      </c>
      <c r="O235">
        <f t="shared" si="19"/>
        <v>0</v>
      </c>
      <c r="P235">
        <f t="shared" si="20"/>
        <v>1</v>
      </c>
      <c r="Q235">
        <f t="shared" si="21"/>
        <v>0</v>
      </c>
      <c r="R235">
        <f t="shared" si="22"/>
        <v>0</v>
      </c>
      <c r="S235">
        <f t="shared" si="23"/>
        <v>1</v>
      </c>
    </row>
    <row r="236" spans="1:19">
      <c r="A236" s="2" t="s">
        <v>80</v>
      </c>
      <c r="B236" s="2" t="s">
        <v>27</v>
      </c>
      <c r="C236" s="2" t="s">
        <v>16</v>
      </c>
      <c r="D236" s="2">
        <v>62582.71</v>
      </c>
      <c r="E236" s="2">
        <v>5479</v>
      </c>
      <c r="F236" s="2">
        <v>4.8000000000000001E-2</v>
      </c>
      <c r="G236" s="2">
        <v>16</v>
      </c>
      <c r="H236" s="2">
        <v>81.2</v>
      </c>
      <c r="I236" s="2">
        <v>4.01</v>
      </c>
      <c r="J236" s="2">
        <v>0</v>
      </c>
      <c r="K236" s="2">
        <v>3.9</v>
      </c>
      <c r="L236" s="2">
        <v>640666.53</v>
      </c>
      <c r="M236" s="2">
        <v>134919.16</v>
      </c>
      <c r="N236">
        <f t="shared" si="18"/>
        <v>0</v>
      </c>
      <c r="O236">
        <f t="shared" si="19"/>
        <v>0</v>
      </c>
      <c r="P236">
        <f t="shared" si="20"/>
        <v>1</v>
      </c>
      <c r="Q236">
        <f t="shared" si="21"/>
        <v>0</v>
      </c>
      <c r="R236">
        <f t="shared" si="22"/>
        <v>0</v>
      </c>
      <c r="S236">
        <f t="shared" si="23"/>
        <v>1</v>
      </c>
    </row>
    <row r="237" spans="1:19">
      <c r="A237" s="2" t="s">
        <v>80</v>
      </c>
      <c r="B237" s="2" t="s">
        <v>27</v>
      </c>
      <c r="C237" s="2" t="s">
        <v>16</v>
      </c>
      <c r="D237" s="2">
        <v>47944.14</v>
      </c>
      <c r="E237" s="2">
        <v>6169</v>
      </c>
      <c r="F237" s="2">
        <v>0.11899999999999999</v>
      </c>
      <c r="G237" s="2">
        <v>17</v>
      </c>
      <c r="H237" s="2">
        <v>92.2</v>
      </c>
      <c r="I237" s="2">
        <v>4.01</v>
      </c>
      <c r="J237" s="2">
        <v>0</v>
      </c>
      <c r="K237" s="2">
        <v>3.9</v>
      </c>
      <c r="L237" s="2">
        <v>670629.48</v>
      </c>
      <c r="M237" s="2">
        <v>100140.8</v>
      </c>
      <c r="N237">
        <f t="shared" si="18"/>
        <v>0</v>
      </c>
      <c r="O237">
        <f t="shared" si="19"/>
        <v>0</v>
      </c>
      <c r="P237">
        <f t="shared" si="20"/>
        <v>1</v>
      </c>
      <c r="Q237">
        <f t="shared" si="21"/>
        <v>0</v>
      </c>
      <c r="R237">
        <f t="shared" si="22"/>
        <v>0</v>
      </c>
      <c r="S237">
        <f t="shared" si="23"/>
        <v>1</v>
      </c>
    </row>
    <row r="238" spans="1:19">
      <c r="A238" s="2" t="s">
        <v>81</v>
      </c>
      <c r="B238" s="2" t="s">
        <v>27</v>
      </c>
      <c r="C238" s="2" t="s">
        <v>28</v>
      </c>
      <c r="D238" s="2">
        <v>46495.4</v>
      </c>
      <c r="E238" s="2">
        <v>9908</v>
      </c>
      <c r="F238" s="2">
        <v>0.121</v>
      </c>
      <c r="G238" s="2">
        <v>22</v>
      </c>
      <c r="H238" s="2">
        <v>89.4</v>
      </c>
      <c r="I238" s="2">
        <v>4.01</v>
      </c>
      <c r="J238" s="2">
        <v>0</v>
      </c>
      <c r="K238" s="2">
        <v>3.9</v>
      </c>
      <c r="L238" s="2">
        <v>721079.35</v>
      </c>
      <c r="M238" s="2">
        <v>115295.05</v>
      </c>
      <c r="N238">
        <f t="shared" si="18"/>
        <v>0</v>
      </c>
      <c r="O238">
        <f t="shared" si="19"/>
        <v>0</v>
      </c>
      <c r="P238">
        <f t="shared" si="20"/>
        <v>1</v>
      </c>
      <c r="Q238">
        <f t="shared" si="21"/>
        <v>0</v>
      </c>
      <c r="R238">
        <f t="shared" si="22"/>
        <v>1</v>
      </c>
      <c r="S238">
        <f t="shared" si="23"/>
        <v>0</v>
      </c>
    </row>
    <row r="239" spans="1:19">
      <c r="A239" s="2" t="s">
        <v>81</v>
      </c>
      <c r="B239" s="2" t="s">
        <v>27</v>
      </c>
      <c r="C239" s="2" t="s">
        <v>28</v>
      </c>
      <c r="D239" s="2">
        <v>72961.95</v>
      </c>
      <c r="E239" s="2">
        <v>9996</v>
      </c>
      <c r="F239" s="2">
        <v>0.106</v>
      </c>
      <c r="G239" s="2">
        <v>22</v>
      </c>
      <c r="H239" s="2">
        <v>89.1</v>
      </c>
      <c r="I239" s="2">
        <v>4.01</v>
      </c>
      <c r="J239" s="2">
        <v>0</v>
      </c>
      <c r="K239" s="2">
        <v>3.9</v>
      </c>
      <c r="L239" s="2">
        <v>810355.02</v>
      </c>
      <c r="M239" s="2">
        <v>131510</v>
      </c>
      <c r="N239">
        <f t="shared" si="18"/>
        <v>0</v>
      </c>
      <c r="O239">
        <f t="shared" si="19"/>
        <v>0</v>
      </c>
      <c r="P239">
        <f t="shared" si="20"/>
        <v>1</v>
      </c>
      <c r="Q239">
        <f t="shared" si="21"/>
        <v>0</v>
      </c>
      <c r="R239">
        <f t="shared" si="22"/>
        <v>1</v>
      </c>
      <c r="S239">
        <f t="shared" si="23"/>
        <v>0</v>
      </c>
    </row>
    <row r="240" spans="1:19">
      <c r="A240" s="2" t="s">
        <v>81</v>
      </c>
      <c r="B240" s="2" t="s">
        <v>27</v>
      </c>
      <c r="C240" s="2" t="s">
        <v>28</v>
      </c>
      <c r="D240" s="2">
        <v>59060.05</v>
      </c>
      <c r="E240" s="2">
        <v>9702</v>
      </c>
      <c r="F240" s="2">
        <v>0.20100000000000001</v>
      </c>
      <c r="G240" s="2">
        <v>23</v>
      </c>
      <c r="H240" s="2">
        <v>80.900000000000006</v>
      </c>
      <c r="I240" s="2">
        <v>4.01</v>
      </c>
      <c r="J240" s="2">
        <v>0</v>
      </c>
      <c r="K240" s="2">
        <v>3.9</v>
      </c>
      <c r="L240" s="2">
        <v>761919.25</v>
      </c>
      <c r="M240" s="2">
        <v>111893.06</v>
      </c>
      <c r="N240">
        <f t="shared" si="18"/>
        <v>0</v>
      </c>
      <c r="O240">
        <f t="shared" si="19"/>
        <v>0</v>
      </c>
      <c r="P240">
        <f t="shared" si="20"/>
        <v>1</v>
      </c>
      <c r="Q240">
        <f t="shared" si="21"/>
        <v>0</v>
      </c>
      <c r="R240">
        <f t="shared" si="22"/>
        <v>1</v>
      </c>
      <c r="S240">
        <f t="shared" si="23"/>
        <v>0</v>
      </c>
    </row>
    <row r="241" spans="1:19">
      <c r="A241" s="2" t="s">
        <v>81</v>
      </c>
      <c r="B241" s="2" t="s">
        <v>27</v>
      </c>
      <c r="C241" s="2" t="s">
        <v>28</v>
      </c>
      <c r="D241" s="2">
        <v>26248.1</v>
      </c>
      <c r="E241" s="2">
        <v>9314</v>
      </c>
      <c r="F241" s="2">
        <v>0.186</v>
      </c>
      <c r="G241" s="2">
        <v>21</v>
      </c>
      <c r="H241" s="2">
        <v>83.7</v>
      </c>
      <c r="I241" s="2">
        <v>4.01</v>
      </c>
      <c r="J241" s="2">
        <v>0</v>
      </c>
      <c r="K241" s="2">
        <v>3.9</v>
      </c>
      <c r="L241" s="2">
        <v>737070.18</v>
      </c>
      <c r="M241" s="2">
        <v>117593.97</v>
      </c>
      <c r="N241">
        <f t="shared" si="18"/>
        <v>0</v>
      </c>
      <c r="O241">
        <f t="shared" si="19"/>
        <v>0</v>
      </c>
      <c r="P241">
        <f t="shared" si="20"/>
        <v>1</v>
      </c>
      <c r="Q241">
        <f t="shared" si="21"/>
        <v>0</v>
      </c>
      <c r="R241">
        <f t="shared" si="22"/>
        <v>1</v>
      </c>
      <c r="S241">
        <f t="shared" si="23"/>
        <v>0</v>
      </c>
    </row>
    <row r="242" spans="1:19">
      <c r="A242" s="2" t="s">
        <v>82</v>
      </c>
      <c r="B242" s="2" t="s">
        <v>24</v>
      </c>
      <c r="C242" s="2" t="s">
        <v>21</v>
      </c>
      <c r="D242" s="2">
        <v>69900.12</v>
      </c>
      <c r="E242" s="2">
        <v>8055</v>
      </c>
      <c r="F242" s="2">
        <v>0.28100000000000003</v>
      </c>
      <c r="G242" s="2">
        <v>22</v>
      </c>
      <c r="H242" s="2">
        <v>85.6</v>
      </c>
      <c r="I242" s="2">
        <v>4.01</v>
      </c>
      <c r="J242" s="2">
        <v>1</v>
      </c>
      <c r="K242" s="2">
        <v>3.9</v>
      </c>
      <c r="L242" s="2">
        <v>776992.93</v>
      </c>
      <c r="M242" s="2">
        <v>101598.32</v>
      </c>
      <c r="N242">
        <f t="shared" si="18"/>
        <v>0</v>
      </c>
      <c r="O242">
        <f t="shared" si="19"/>
        <v>1</v>
      </c>
      <c r="P242">
        <f t="shared" si="20"/>
        <v>0</v>
      </c>
      <c r="Q242">
        <f t="shared" si="21"/>
        <v>0</v>
      </c>
      <c r="R242">
        <f t="shared" si="22"/>
        <v>0</v>
      </c>
      <c r="S242">
        <f t="shared" si="23"/>
        <v>0</v>
      </c>
    </row>
    <row r="243" spans="1:19">
      <c r="A243" s="2" t="s">
        <v>82</v>
      </c>
      <c r="B243" s="2" t="s">
        <v>24</v>
      </c>
      <c r="C243" s="2" t="s">
        <v>21</v>
      </c>
      <c r="D243" s="2">
        <v>51781.599999999999</v>
      </c>
      <c r="E243" s="2">
        <v>5648</v>
      </c>
      <c r="F243" s="2">
        <v>5.8999999999999997E-2</v>
      </c>
      <c r="G243" s="2">
        <v>13</v>
      </c>
      <c r="H243" s="2">
        <v>85.5</v>
      </c>
      <c r="I243" s="2">
        <v>4.01</v>
      </c>
      <c r="J243" s="2">
        <v>0</v>
      </c>
      <c r="K243" s="2">
        <v>3.9</v>
      </c>
      <c r="L243" s="2">
        <v>676337.41</v>
      </c>
      <c r="M243" s="2">
        <v>104355.77</v>
      </c>
      <c r="N243">
        <f t="shared" si="18"/>
        <v>0</v>
      </c>
      <c r="O243">
        <f t="shared" si="19"/>
        <v>1</v>
      </c>
      <c r="P243">
        <f t="shared" si="20"/>
        <v>0</v>
      </c>
      <c r="Q243">
        <f t="shared" si="21"/>
        <v>0</v>
      </c>
      <c r="R243">
        <f t="shared" si="22"/>
        <v>0</v>
      </c>
      <c r="S243">
        <f t="shared" si="23"/>
        <v>0</v>
      </c>
    </row>
    <row r="244" spans="1:19">
      <c r="A244" s="2" t="s">
        <v>82</v>
      </c>
      <c r="B244" s="2" t="s">
        <v>24</v>
      </c>
      <c r="C244" s="2" t="s">
        <v>21</v>
      </c>
      <c r="D244" s="2">
        <v>70799.64</v>
      </c>
      <c r="E244" s="2">
        <v>10076</v>
      </c>
      <c r="F244" s="2">
        <v>0.152</v>
      </c>
      <c r="G244" s="2">
        <v>24</v>
      </c>
      <c r="H244" s="2">
        <v>84.8</v>
      </c>
      <c r="I244" s="2">
        <v>4.01</v>
      </c>
      <c r="J244" s="2">
        <v>0</v>
      </c>
      <c r="K244" s="2">
        <v>3.9</v>
      </c>
      <c r="L244" s="2">
        <v>828219.67</v>
      </c>
      <c r="M244" s="2">
        <v>179806.87</v>
      </c>
      <c r="N244">
        <f t="shared" si="18"/>
        <v>0</v>
      </c>
      <c r="O244">
        <f t="shared" si="19"/>
        <v>1</v>
      </c>
      <c r="P244">
        <f t="shared" si="20"/>
        <v>0</v>
      </c>
      <c r="Q244">
        <f t="shared" si="21"/>
        <v>0</v>
      </c>
      <c r="R244">
        <f t="shared" si="22"/>
        <v>0</v>
      </c>
      <c r="S244">
        <f t="shared" si="23"/>
        <v>0</v>
      </c>
    </row>
    <row r="245" spans="1:19">
      <c r="A245" s="2" t="s">
        <v>82</v>
      </c>
      <c r="B245" s="2" t="s">
        <v>24</v>
      </c>
      <c r="C245" s="2" t="s">
        <v>21</v>
      </c>
      <c r="D245" s="2">
        <v>53546.34</v>
      </c>
      <c r="E245" s="2">
        <v>8004</v>
      </c>
      <c r="F245" s="2">
        <v>0</v>
      </c>
      <c r="G245" s="2">
        <v>21</v>
      </c>
      <c r="H245" s="2">
        <v>95.2</v>
      </c>
      <c r="I245" s="2">
        <v>4.01</v>
      </c>
      <c r="J245" s="2">
        <v>0</v>
      </c>
      <c r="K245" s="2">
        <v>3.9</v>
      </c>
      <c r="L245" s="2">
        <v>763159.92</v>
      </c>
      <c r="M245" s="2">
        <v>177104.87</v>
      </c>
      <c r="N245">
        <f t="shared" si="18"/>
        <v>0</v>
      </c>
      <c r="O245">
        <f t="shared" si="19"/>
        <v>1</v>
      </c>
      <c r="P245">
        <f t="shared" si="20"/>
        <v>0</v>
      </c>
      <c r="Q245">
        <f t="shared" si="21"/>
        <v>0</v>
      </c>
      <c r="R245">
        <f t="shared" si="22"/>
        <v>0</v>
      </c>
      <c r="S245">
        <f t="shared" si="23"/>
        <v>0</v>
      </c>
    </row>
    <row r="246" spans="1:19">
      <c r="A246" s="2" t="s">
        <v>83</v>
      </c>
      <c r="B246" s="2" t="s">
        <v>15</v>
      </c>
      <c r="C246" s="2" t="s">
        <v>18</v>
      </c>
      <c r="D246" s="2">
        <v>76942.2</v>
      </c>
      <c r="E246" s="2">
        <v>8934</v>
      </c>
      <c r="F246" s="2">
        <v>8.4000000000000005E-2</v>
      </c>
      <c r="G246" s="2">
        <v>20</v>
      </c>
      <c r="H246" s="2">
        <v>91</v>
      </c>
      <c r="I246" s="2">
        <v>4.01</v>
      </c>
      <c r="J246" s="2">
        <v>0</v>
      </c>
      <c r="K246" s="2">
        <v>3.9</v>
      </c>
      <c r="L246" s="2">
        <v>802001.68</v>
      </c>
      <c r="M246" s="2">
        <v>159715.82</v>
      </c>
      <c r="N246">
        <f t="shared" si="18"/>
        <v>0</v>
      </c>
      <c r="O246">
        <f t="shared" si="19"/>
        <v>0</v>
      </c>
      <c r="P246">
        <f t="shared" si="20"/>
        <v>0</v>
      </c>
      <c r="Q246">
        <f t="shared" si="21"/>
        <v>0</v>
      </c>
      <c r="R246">
        <f t="shared" si="22"/>
        <v>0</v>
      </c>
      <c r="S246">
        <f t="shared" si="23"/>
        <v>0</v>
      </c>
    </row>
    <row r="247" spans="1:19">
      <c r="A247" s="2" t="s">
        <v>83</v>
      </c>
      <c r="B247" s="2" t="s">
        <v>15</v>
      </c>
      <c r="C247" s="2" t="s">
        <v>18</v>
      </c>
      <c r="D247" s="2">
        <v>48060.78</v>
      </c>
      <c r="E247" s="2">
        <v>8733</v>
      </c>
      <c r="F247" s="2">
        <v>0</v>
      </c>
      <c r="G247" s="2">
        <v>20</v>
      </c>
      <c r="H247" s="2">
        <v>89.9</v>
      </c>
      <c r="I247" s="2">
        <v>4.01</v>
      </c>
      <c r="J247" s="2">
        <v>0</v>
      </c>
      <c r="K247" s="2">
        <v>3.9</v>
      </c>
      <c r="L247" s="2">
        <v>750471.34</v>
      </c>
      <c r="M247" s="2">
        <v>133788.04</v>
      </c>
      <c r="N247">
        <f t="shared" si="18"/>
        <v>0</v>
      </c>
      <c r="O247">
        <f t="shared" si="19"/>
        <v>0</v>
      </c>
      <c r="P247">
        <f t="shared" si="20"/>
        <v>0</v>
      </c>
      <c r="Q247">
        <f t="shared" si="21"/>
        <v>0</v>
      </c>
      <c r="R247">
        <f t="shared" si="22"/>
        <v>0</v>
      </c>
      <c r="S247">
        <f t="shared" si="23"/>
        <v>0</v>
      </c>
    </row>
    <row r="248" spans="1:19">
      <c r="A248" s="2" t="s">
        <v>83</v>
      </c>
      <c r="B248" s="2" t="s">
        <v>15</v>
      </c>
      <c r="C248" s="2" t="s">
        <v>18</v>
      </c>
      <c r="D248" s="2">
        <v>57390.04</v>
      </c>
      <c r="E248" s="2">
        <v>7374</v>
      </c>
      <c r="F248" s="2">
        <v>0.21</v>
      </c>
      <c r="G248" s="2">
        <v>21</v>
      </c>
      <c r="H248" s="2">
        <v>91.8</v>
      </c>
      <c r="I248" s="2">
        <v>4.01</v>
      </c>
      <c r="J248" s="2">
        <v>0</v>
      </c>
      <c r="K248" s="2">
        <v>3.9</v>
      </c>
      <c r="L248" s="2">
        <v>679230.86</v>
      </c>
      <c r="M248" s="2">
        <v>106927.58</v>
      </c>
      <c r="N248">
        <f t="shared" si="18"/>
        <v>0</v>
      </c>
      <c r="O248">
        <f t="shared" si="19"/>
        <v>0</v>
      </c>
      <c r="P248">
        <f t="shared" si="20"/>
        <v>0</v>
      </c>
      <c r="Q248">
        <f t="shared" si="21"/>
        <v>0</v>
      </c>
      <c r="R248">
        <f t="shared" si="22"/>
        <v>0</v>
      </c>
      <c r="S248">
        <f t="shared" si="23"/>
        <v>0</v>
      </c>
    </row>
    <row r="249" spans="1:19">
      <c r="A249" s="2" t="s">
        <v>83</v>
      </c>
      <c r="B249" s="2" t="s">
        <v>15</v>
      </c>
      <c r="C249" s="2" t="s">
        <v>18</v>
      </c>
      <c r="D249" s="2">
        <v>21536.18</v>
      </c>
      <c r="E249" s="2">
        <v>8119</v>
      </c>
      <c r="F249" s="2">
        <v>0.22700000000000001</v>
      </c>
      <c r="G249" s="2">
        <v>20</v>
      </c>
      <c r="H249" s="2">
        <v>90.4</v>
      </c>
      <c r="I249" s="2">
        <v>4.01</v>
      </c>
      <c r="J249" s="2">
        <v>0</v>
      </c>
      <c r="K249" s="2">
        <v>3.9</v>
      </c>
      <c r="L249" s="2">
        <v>679888.74</v>
      </c>
      <c r="M249" s="2">
        <v>83406.89</v>
      </c>
      <c r="N249">
        <f t="shared" si="18"/>
        <v>0</v>
      </c>
      <c r="O249">
        <f t="shared" si="19"/>
        <v>0</v>
      </c>
      <c r="P249">
        <f t="shared" si="20"/>
        <v>0</v>
      </c>
      <c r="Q249">
        <f t="shared" si="21"/>
        <v>0</v>
      </c>
      <c r="R249">
        <f t="shared" si="22"/>
        <v>0</v>
      </c>
      <c r="S249">
        <f t="shared" si="23"/>
        <v>0</v>
      </c>
    </row>
    <row r="250" spans="1:19">
      <c r="A250" s="2" t="s">
        <v>84</v>
      </c>
      <c r="B250" s="2" t="s">
        <v>20</v>
      </c>
      <c r="C250" s="2" t="s">
        <v>18</v>
      </c>
      <c r="D250" s="2">
        <v>40923.67</v>
      </c>
      <c r="E250" s="2">
        <v>3875</v>
      </c>
      <c r="F250" s="2">
        <v>0.15</v>
      </c>
      <c r="G250" s="2">
        <v>10</v>
      </c>
      <c r="H250" s="2">
        <v>96.1</v>
      </c>
      <c r="I250" s="2">
        <v>4.01</v>
      </c>
      <c r="J250" s="2">
        <v>0</v>
      </c>
      <c r="K250" s="2">
        <v>3.9</v>
      </c>
      <c r="L250" s="2">
        <v>606783.67000000004</v>
      </c>
      <c r="M250" s="2">
        <v>74515.87</v>
      </c>
      <c r="N250">
        <f t="shared" si="18"/>
        <v>1</v>
      </c>
      <c r="O250">
        <f t="shared" si="19"/>
        <v>0</v>
      </c>
      <c r="P250">
        <f t="shared" si="20"/>
        <v>0</v>
      </c>
      <c r="Q250">
        <f t="shared" si="21"/>
        <v>0</v>
      </c>
      <c r="R250">
        <f t="shared" si="22"/>
        <v>0</v>
      </c>
      <c r="S250">
        <f t="shared" si="23"/>
        <v>0</v>
      </c>
    </row>
    <row r="251" spans="1:19">
      <c r="A251" s="2" t="s">
        <v>84</v>
      </c>
      <c r="B251" s="2" t="s">
        <v>20</v>
      </c>
      <c r="C251" s="2" t="s">
        <v>18</v>
      </c>
      <c r="D251" s="2">
        <v>72932.55</v>
      </c>
      <c r="E251" s="2">
        <v>5765</v>
      </c>
      <c r="F251" s="2">
        <v>2.5999999999999999E-2</v>
      </c>
      <c r="G251" s="2">
        <v>17</v>
      </c>
      <c r="H251" s="2">
        <v>81.8</v>
      </c>
      <c r="I251" s="2">
        <v>4.01</v>
      </c>
      <c r="J251" s="2">
        <v>0</v>
      </c>
      <c r="K251" s="2">
        <v>3.9</v>
      </c>
      <c r="L251" s="2">
        <v>642751.42000000004</v>
      </c>
      <c r="M251" s="2">
        <v>131942.15</v>
      </c>
      <c r="N251">
        <f t="shared" si="18"/>
        <v>1</v>
      </c>
      <c r="O251">
        <f t="shared" si="19"/>
        <v>0</v>
      </c>
      <c r="P251">
        <f t="shared" si="20"/>
        <v>0</v>
      </c>
      <c r="Q251">
        <f t="shared" si="21"/>
        <v>0</v>
      </c>
      <c r="R251">
        <f t="shared" si="22"/>
        <v>0</v>
      </c>
      <c r="S251">
        <f t="shared" si="23"/>
        <v>0</v>
      </c>
    </row>
    <row r="252" spans="1:19">
      <c r="A252" s="2" t="s">
        <v>84</v>
      </c>
      <c r="B252" s="2" t="s">
        <v>20</v>
      </c>
      <c r="C252" s="2" t="s">
        <v>18</v>
      </c>
      <c r="D252" s="2">
        <v>38361.93</v>
      </c>
      <c r="E252" s="2">
        <v>6322</v>
      </c>
      <c r="F252" s="2">
        <v>0.27300000000000002</v>
      </c>
      <c r="G252" s="2">
        <v>15</v>
      </c>
      <c r="H252" s="2">
        <v>88.4</v>
      </c>
      <c r="I252" s="2">
        <v>4.01</v>
      </c>
      <c r="J252" s="2">
        <v>0</v>
      </c>
      <c r="K252" s="2">
        <v>3.9</v>
      </c>
      <c r="L252" s="2">
        <v>647953.78</v>
      </c>
      <c r="M252" s="2">
        <v>118497.43</v>
      </c>
      <c r="N252">
        <f t="shared" si="18"/>
        <v>1</v>
      </c>
      <c r="O252">
        <f t="shared" si="19"/>
        <v>0</v>
      </c>
      <c r="P252">
        <f t="shared" si="20"/>
        <v>0</v>
      </c>
      <c r="Q252">
        <f t="shared" si="21"/>
        <v>0</v>
      </c>
      <c r="R252">
        <f t="shared" si="22"/>
        <v>0</v>
      </c>
      <c r="S252">
        <f t="shared" si="23"/>
        <v>0</v>
      </c>
    </row>
    <row r="253" spans="1:19">
      <c r="A253" s="2" t="s">
        <v>84</v>
      </c>
      <c r="B253" s="2" t="s">
        <v>20</v>
      </c>
      <c r="C253" s="2" t="s">
        <v>18</v>
      </c>
      <c r="D253" s="2">
        <v>97480.94</v>
      </c>
      <c r="E253" s="2">
        <v>6840</v>
      </c>
      <c r="F253" s="2">
        <v>8.6999999999999994E-2</v>
      </c>
      <c r="G253" s="2">
        <v>14</v>
      </c>
      <c r="H253" s="2">
        <v>79.2</v>
      </c>
      <c r="I253" s="2">
        <v>4.01</v>
      </c>
      <c r="J253" s="2">
        <v>0</v>
      </c>
      <c r="K253" s="2">
        <v>3.9</v>
      </c>
      <c r="L253" s="2">
        <v>729440.45</v>
      </c>
      <c r="M253" s="2">
        <v>87614.29</v>
      </c>
      <c r="N253">
        <f t="shared" si="18"/>
        <v>1</v>
      </c>
      <c r="O253">
        <f t="shared" si="19"/>
        <v>0</v>
      </c>
      <c r="P253">
        <f t="shared" si="20"/>
        <v>0</v>
      </c>
      <c r="Q253">
        <f t="shared" si="21"/>
        <v>0</v>
      </c>
      <c r="R253">
        <f t="shared" si="22"/>
        <v>0</v>
      </c>
      <c r="S253">
        <f t="shared" si="23"/>
        <v>0</v>
      </c>
    </row>
    <row r="254" spans="1:19">
      <c r="A254" s="2" t="s">
        <v>85</v>
      </c>
      <c r="B254" s="2" t="s">
        <v>24</v>
      </c>
      <c r="C254" s="2" t="s">
        <v>21</v>
      </c>
      <c r="D254" s="2">
        <v>81801.8</v>
      </c>
      <c r="E254" s="2">
        <v>6782</v>
      </c>
      <c r="F254" s="2">
        <v>0.05</v>
      </c>
      <c r="G254" s="2">
        <v>16</v>
      </c>
      <c r="H254" s="2">
        <v>99</v>
      </c>
      <c r="I254" s="2">
        <v>4.01</v>
      </c>
      <c r="J254" s="2">
        <v>0</v>
      </c>
      <c r="K254" s="2">
        <v>3.9</v>
      </c>
      <c r="L254" s="2">
        <v>764949</v>
      </c>
      <c r="M254" s="2">
        <v>148322.43</v>
      </c>
      <c r="N254">
        <f t="shared" si="18"/>
        <v>0</v>
      </c>
      <c r="O254">
        <f t="shared" si="19"/>
        <v>1</v>
      </c>
      <c r="P254">
        <f t="shared" si="20"/>
        <v>0</v>
      </c>
      <c r="Q254">
        <f t="shared" si="21"/>
        <v>0</v>
      </c>
      <c r="R254">
        <f t="shared" si="22"/>
        <v>0</v>
      </c>
      <c r="S254">
        <f t="shared" si="23"/>
        <v>0</v>
      </c>
    </row>
    <row r="255" spans="1:19">
      <c r="A255" s="2" t="s">
        <v>85</v>
      </c>
      <c r="B255" s="2" t="s">
        <v>24</v>
      </c>
      <c r="C255" s="2" t="s">
        <v>21</v>
      </c>
      <c r="D255" s="2">
        <v>63582.11</v>
      </c>
      <c r="E255" s="2">
        <v>6856</v>
      </c>
      <c r="F255" s="2">
        <v>7.3999999999999996E-2</v>
      </c>
      <c r="G255" s="2">
        <v>17</v>
      </c>
      <c r="H255" s="2">
        <v>89.5</v>
      </c>
      <c r="I255" s="2">
        <v>4.01</v>
      </c>
      <c r="J255" s="2">
        <v>0</v>
      </c>
      <c r="K255" s="2">
        <v>3.9</v>
      </c>
      <c r="L255" s="2">
        <v>799046.94</v>
      </c>
      <c r="M255" s="2">
        <v>144553.64000000001</v>
      </c>
      <c r="N255">
        <f t="shared" si="18"/>
        <v>0</v>
      </c>
      <c r="O255">
        <f t="shared" si="19"/>
        <v>1</v>
      </c>
      <c r="P255">
        <f t="shared" si="20"/>
        <v>0</v>
      </c>
      <c r="Q255">
        <f t="shared" si="21"/>
        <v>0</v>
      </c>
      <c r="R255">
        <f t="shared" si="22"/>
        <v>0</v>
      </c>
      <c r="S255">
        <f t="shared" si="23"/>
        <v>0</v>
      </c>
    </row>
    <row r="256" spans="1:19">
      <c r="A256" s="2" t="s">
        <v>85</v>
      </c>
      <c r="B256" s="2" t="s">
        <v>24</v>
      </c>
      <c r="C256" s="2" t="s">
        <v>21</v>
      </c>
      <c r="D256" s="2">
        <v>75412.740000000005</v>
      </c>
      <c r="E256" s="2">
        <v>5641</v>
      </c>
      <c r="F256" s="2">
        <v>5.8999999999999997E-2</v>
      </c>
      <c r="G256" s="2">
        <v>13</v>
      </c>
      <c r="H256" s="2">
        <v>87.9</v>
      </c>
      <c r="I256" s="2">
        <v>4.01</v>
      </c>
      <c r="J256" s="2">
        <v>0</v>
      </c>
      <c r="K256" s="2">
        <v>3.9</v>
      </c>
      <c r="L256" s="2">
        <v>720079.54</v>
      </c>
      <c r="M256" s="2">
        <v>119499.47</v>
      </c>
      <c r="N256">
        <f t="shared" si="18"/>
        <v>0</v>
      </c>
      <c r="O256">
        <f t="shared" si="19"/>
        <v>1</v>
      </c>
      <c r="P256">
        <f t="shared" si="20"/>
        <v>0</v>
      </c>
      <c r="Q256">
        <f t="shared" si="21"/>
        <v>0</v>
      </c>
      <c r="R256">
        <f t="shared" si="22"/>
        <v>0</v>
      </c>
      <c r="S256">
        <f t="shared" si="23"/>
        <v>0</v>
      </c>
    </row>
    <row r="257" spans="1:19">
      <c r="A257" s="2" t="s">
        <v>85</v>
      </c>
      <c r="B257" s="2" t="s">
        <v>24</v>
      </c>
      <c r="C257" s="2" t="s">
        <v>21</v>
      </c>
      <c r="D257" s="2">
        <v>36290.080000000002</v>
      </c>
      <c r="E257" s="2">
        <v>5787</v>
      </c>
      <c r="F257" s="2">
        <v>0</v>
      </c>
      <c r="G257" s="2">
        <v>17</v>
      </c>
      <c r="H257" s="2">
        <v>88.3</v>
      </c>
      <c r="I257" s="2">
        <v>4.01</v>
      </c>
      <c r="J257" s="2">
        <v>0</v>
      </c>
      <c r="K257" s="2">
        <v>3.9</v>
      </c>
      <c r="L257" s="2">
        <v>612390.14</v>
      </c>
      <c r="M257" s="2">
        <v>108985.74</v>
      </c>
      <c r="N257">
        <f t="shared" si="18"/>
        <v>0</v>
      </c>
      <c r="O257">
        <f t="shared" si="19"/>
        <v>1</v>
      </c>
      <c r="P257">
        <f t="shared" si="20"/>
        <v>0</v>
      </c>
      <c r="Q257">
        <f t="shared" si="21"/>
        <v>0</v>
      </c>
      <c r="R257">
        <f t="shared" si="22"/>
        <v>0</v>
      </c>
      <c r="S257">
        <f t="shared" si="23"/>
        <v>0</v>
      </c>
    </row>
    <row r="258" spans="1:19">
      <c r="A258" s="2" t="s">
        <v>86</v>
      </c>
      <c r="B258" s="2" t="s">
        <v>24</v>
      </c>
      <c r="C258" s="2" t="s">
        <v>28</v>
      </c>
      <c r="D258" s="2">
        <v>65272.58</v>
      </c>
      <c r="E258" s="2">
        <v>8165</v>
      </c>
      <c r="F258" s="2">
        <v>5.0999999999999997E-2</v>
      </c>
      <c r="G258" s="2">
        <v>19</v>
      </c>
      <c r="H258" s="2">
        <v>87.8</v>
      </c>
      <c r="I258" s="2">
        <v>4.01</v>
      </c>
      <c r="J258" s="2">
        <v>1</v>
      </c>
      <c r="K258" s="2">
        <v>3.9</v>
      </c>
      <c r="L258" s="2">
        <v>840108.12</v>
      </c>
      <c r="M258" s="2">
        <v>126587.01</v>
      </c>
      <c r="N258">
        <f t="shared" ref="N258:N321" si="24">IF(B258="North",1,0)</f>
        <v>0</v>
      </c>
      <c r="O258">
        <f t="shared" ref="O258:O321" si="25">IF(B258="South",1,0)</f>
        <v>1</v>
      </c>
      <c r="P258">
        <f t="shared" ref="P258:P321" si="26">IF(B258="West",1,0)</f>
        <v>0</v>
      </c>
      <c r="Q258">
        <f t="shared" ref="Q258:Q321" si="27">IF(C258="HighStreet",1,0)</f>
        <v>0</v>
      </c>
      <c r="R258">
        <f t="shared" ref="R258:R321" si="28">IF(C258="Mall",1,0)</f>
        <v>1</v>
      </c>
      <c r="S258">
        <f t="shared" ref="S258:S321" si="29">IF(C258="Residential",1,0)</f>
        <v>0</v>
      </c>
    </row>
    <row r="259" spans="1:19">
      <c r="A259" s="2" t="s">
        <v>86</v>
      </c>
      <c r="B259" s="2" t="s">
        <v>24</v>
      </c>
      <c r="C259" s="2" t="s">
        <v>28</v>
      </c>
      <c r="D259" s="2">
        <v>28670.43</v>
      </c>
      <c r="E259" s="2">
        <v>7574</v>
      </c>
      <c r="F259" s="2">
        <v>0.114</v>
      </c>
      <c r="G259" s="2">
        <v>19</v>
      </c>
      <c r="H259" s="2">
        <v>82.7</v>
      </c>
      <c r="I259" s="2">
        <v>4.01</v>
      </c>
      <c r="J259" s="2">
        <v>0</v>
      </c>
      <c r="K259" s="2">
        <v>3.9</v>
      </c>
      <c r="L259" s="2">
        <v>697888.09</v>
      </c>
      <c r="M259" s="2">
        <v>116249.87</v>
      </c>
      <c r="N259">
        <f t="shared" si="24"/>
        <v>0</v>
      </c>
      <c r="O259">
        <f t="shared" si="25"/>
        <v>1</v>
      </c>
      <c r="P259">
        <f t="shared" si="26"/>
        <v>0</v>
      </c>
      <c r="Q259">
        <f t="shared" si="27"/>
        <v>0</v>
      </c>
      <c r="R259">
        <f t="shared" si="28"/>
        <v>1</v>
      </c>
      <c r="S259">
        <f t="shared" si="29"/>
        <v>0</v>
      </c>
    </row>
    <row r="260" spans="1:19">
      <c r="A260" s="2" t="s">
        <v>86</v>
      </c>
      <c r="B260" s="2" t="s">
        <v>24</v>
      </c>
      <c r="C260" s="2" t="s">
        <v>28</v>
      </c>
      <c r="D260" s="2">
        <v>44189.34</v>
      </c>
      <c r="E260" s="2">
        <v>8634</v>
      </c>
      <c r="F260" s="2">
        <v>0.14299999999999999</v>
      </c>
      <c r="G260" s="2">
        <v>19</v>
      </c>
      <c r="H260" s="2">
        <v>87.5</v>
      </c>
      <c r="I260" s="2">
        <v>4.01</v>
      </c>
      <c r="J260" s="2">
        <v>0</v>
      </c>
      <c r="K260" s="2">
        <v>3.9</v>
      </c>
      <c r="L260" s="2">
        <v>746115.59</v>
      </c>
      <c r="M260" s="2">
        <v>94662.96</v>
      </c>
      <c r="N260">
        <f t="shared" si="24"/>
        <v>0</v>
      </c>
      <c r="O260">
        <f t="shared" si="25"/>
        <v>1</v>
      </c>
      <c r="P260">
        <f t="shared" si="26"/>
        <v>0</v>
      </c>
      <c r="Q260">
        <f t="shared" si="27"/>
        <v>0</v>
      </c>
      <c r="R260">
        <f t="shared" si="28"/>
        <v>1</v>
      </c>
      <c r="S260">
        <f t="shared" si="29"/>
        <v>0</v>
      </c>
    </row>
    <row r="261" spans="1:19">
      <c r="A261" s="2" t="s">
        <v>86</v>
      </c>
      <c r="B261" s="2" t="s">
        <v>24</v>
      </c>
      <c r="C261" s="2" t="s">
        <v>28</v>
      </c>
      <c r="D261" s="2">
        <v>38397.82</v>
      </c>
      <c r="E261" s="2">
        <v>7836</v>
      </c>
      <c r="F261" s="2">
        <v>7.0000000000000001E-3</v>
      </c>
      <c r="G261" s="2">
        <v>21</v>
      </c>
      <c r="H261" s="2">
        <v>92.2</v>
      </c>
      <c r="I261" s="2">
        <v>4.01</v>
      </c>
      <c r="J261" s="2">
        <v>0</v>
      </c>
      <c r="K261" s="2">
        <v>3.9</v>
      </c>
      <c r="L261" s="2">
        <v>776110.32</v>
      </c>
      <c r="M261" s="2">
        <v>139676.21</v>
      </c>
      <c r="N261">
        <f t="shared" si="24"/>
        <v>0</v>
      </c>
      <c r="O261">
        <f t="shared" si="25"/>
        <v>1</v>
      </c>
      <c r="P261">
        <f t="shared" si="26"/>
        <v>0</v>
      </c>
      <c r="Q261">
        <f t="shared" si="27"/>
        <v>0</v>
      </c>
      <c r="R261">
        <f t="shared" si="28"/>
        <v>1</v>
      </c>
      <c r="S261">
        <f t="shared" si="29"/>
        <v>0</v>
      </c>
    </row>
    <row r="262" spans="1:19">
      <c r="A262" s="2" t="s">
        <v>87</v>
      </c>
      <c r="B262" s="2" t="s">
        <v>27</v>
      </c>
      <c r="C262" s="2" t="s">
        <v>18</v>
      </c>
      <c r="D262" s="2">
        <v>14519.37</v>
      </c>
      <c r="E262" s="2">
        <v>3047</v>
      </c>
      <c r="F262" s="2">
        <v>0.13500000000000001</v>
      </c>
      <c r="G262" s="2">
        <v>10</v>
      </c>
      <c r="H262" s="2">
        <v>90.3</v>
      </c>
      <c r="I262" s="2">
        <v>4.01</v>
      </c>
      <c r="J262" s="2">
        <v>0</v>
      </c>
      <c r="K262" s="2">
        <v>3.9</v>
      </c>
      <c r="L262" s="2">
        <v>528852.62</v>
      </c>
      <c r="M262" s="2">
        <v>68426.210000000006</v>
      </c>
      <c r="N262">
        <f t="shared" si="24"/>
        <v>0</v>
      </c>
      <c r="O262">
        <f t="shared" si="25"/>
        <v>0</v>
      </c>
      <c r="P262">
        <f t="shared" si="26"/>
        <v>1</v>
      </c>
      <c r="Q262">
        <f t="shared" si="27"/>
        <v>0</v>
      </c>
      <c r="R262">
        <f t="shared" si="28"/>
        <v>0</v>
      </c>
      <c r="S262">
        <f t="shared" si="29"/>
        <v>0</v>
      </c>
    </row>
    <row r="263" spans="1:19">
      <c r="A263" s="2" t="s">
        <v>87</v>
      </c>
      <c r="B263" s="2" t="s">
        <v>27</v>
      </c>
      <c r="C263" s="2" t="s">
        <v>18</v>
      </c>
      <c r="D263" s="2">
        <v>43288.2</v>
      </c>
      <c r="E263" s="2">
        <v>4783</v>
      </c>
      <c r="F263" s="2">
        <v>0.16900000000000001</v>
      </c>
      <c r="G263" s="2">
        <v>13</v>
      </c>
      <c r="H263" s="2">
        <v>87.3</v>
      </c>
      <c r="I263" s="2">
        <v>4.01</v>
      </c>
      <c r="J263" s="2">
        <v>0</v>
      </c>
      <c r="K263" s="2">
        <v>3.9</v>
      </c>
      <c r="L263" s="2">
        <v>605751.32999999996</v>
      </c>
      <c r="M263" s="2">
        <v>60685.53</v>
      </c>
      <c r="N263">
        <f t="shared" si="24"/>
        <v>0</v>
      </c>
      <c r="O263">
        <f t="shared" si="25"/>
        <v>0</v>
      </c>
      <c r="P263">
        <f t="shared" si="26"/>
        <v>1</v>
      </c>
      <c r="Q263">
        <f t="shared" si="27"/>
        <v>0</v>
      </c>
      <c r="R263">
        <f t="shared" si="28"/>
        <v>0</v>
      </c>
      <c r="S263">
        <f t="shared" si="29"/>
        <v>0</v>
      </c>
    </row>
    <row r="264" spans="1:19">
      <c r="A264" s="2" t="s">
        <v>87</v>
      </c>
      <c r="B264" s="2" t="s">
        <v>27</v>
      </c>
      <c r="C264" s="2" t="s">
        <v>18</v>
      </c>
      <c r="D264" s="2">
        <v>51450.55</v>
      </c>
      <c r="E264" s="2">
        <v>4902</v>
      </c>
      <c r="F264" s="2">
        <v>8.5999999999999993E-2</v>
      </c>
      <c r="G264" s="2">
        <v>11</v>
      </c>
      <c r="H264" s="2">
        <v>83.7</v>
      </c>
      <c r="I264" s="2">
        <v>6.92</v>
      </c>
      <c r="J264" s="2">
        <v>1</v>
      </c>
      <c r="K264" s="2">
        <v>3.9</v>
      </c>
      <c r="L264" s="2">
        <v>677640.65</v>
      </c>
      <c r="M264" s="2">
        <v>111610.89</v>
      </c>
      <c r="N264">
        <f t="shared" si="24"/>
        <v>0</v>
      </c>
      <c r="O264">
        <f t="shared" si="25"/>
        <v>0</v>
      </c>
      <c r="P264">
        <f t="shared" si="26"/>
        <v>1</v>
      </c>
      <c r="Q264">
        <f t="shared" si="27"/>
        <v>0</v>
      </c>
      <c r="R264">
        <f t="shared" si="28"/>
        <v>0</v>
      </c>
      <c r="S264">
        <f t="shared" si="29"/>
        <v>0</v>
      </c>
    </row>
    <row r="265" spans="1:19">
      <c r="A265" s="2" t="s">
        <v>87</v>
      </c>
      <c r="B265" s="2" t="s">
        <v>27</v>
      </c>
      <c r="C265" s="2" t="s">
        <v>18</v>
      </c>
      <c r="D265" s="2">
        <v>58688.26</v>
      </c>
      <c r="E265" s="2">
        <v>4022</v>
      </c>
      <c r="F265" s="2">
        <v>0.217</v>
      </c>
      <c r="G265" s="2">
        <v>12</v>
      </c>
      <c r="H265" s="2">
        <v>93.8</v>
      </c>
      <c r="I265" s="2">
        <v>11.78</v>
      </c>
      <c r="J265" s="2">
        <v>0</v>
      </c>
      <c r="K265" s="2">
        <v>3.9</v>
      </c>
      <c r="L265" s="2">
        <v>636613.23</v>
      </c>
      <c r="M265" s="2">
        <v>78908.350000000006</v>
      </c>
      <c r="N265">
        <f t="shared" si="24"/>
        <v>0</v>
      </c>
      <c r="O265">
        <f t="shared" si="25"/>
        <v>0</v>
      </c>
      <c r="P265">
        <f t="shared" si="26"/>
        <v>1</v>
      </c>
      <c r="Q265">
        <f t="shared" si="27"/>
        <v>0</v>
      </c>
      <c r="R265">
        <f t="shared" si="28"/>
        <v>0</v>
      </c>
      <c r="S265">
        <f t="shared" si="29"/>
        <v>0</v>
      </c>
    </row>
    <row r="266" spans="1:19">
      <c r="A266" s="2" t="s">
        <v>88</v>
      </c>
      <c r="B266" s="2" t="s">
        <v>15</v>
      </c>
      <c r="C266" s="2" t="s">
        <v>18</v>
      </c>
      <c r="D266" s="2">
        <v>58981.91</v>
      </c>
      <c r="E266" s="2">
        <v>7324</v>
      </c>
      <c r="F266" s="2">
        <v>9.4E-2</v>
      </c>
      <c r="G266" s="2">
        <v>15</v>
      </c>
      <c r="H266" s="2">
        <v>95.8</v>
      </c>
      <c r="I266" s="2">
        <v>0.5</v>
      </c>
      <c r="J266" s="2">
        <v>0</v>
      </c>
      <c r="K266" s="2">
        <v>3.9</v>
      </c>
      <c r="L266" s="2">
        <v>708985.19</v>
      </c>
      <c r="M266" s="2">
        <v>125368.16</v>
      </c>
      <c r="N266">
        <f t="shared" si="24"/>
        <v>0</v>
      </c>
      <c r="O266">
        <f t="shared" si="25"/>
        <v>0</v>
      </c>
      <c r="P266">
        <f t="shared" si="26"/>
        <v>0</v>
      </c>
      <c r="Q266">
        <f t="shared" si="27"/>
        <v>0</v>
      </c>
      <c r="R266">
        <f t="shared" si="28"/>
        <v>0</v>
      </c>
      <c r="S266">
        <f t="shared" si="29"/>
        <v>0</v>
      </c>
    </row>
    <row r="267" spans="1:19">
      <c r="A267" s="2" t="s">
        <v>88</v>
      </c>
      <c r="B267" s="2" t="s">
        <v>15</v>
      </c>
      <c r="C267" s="2" t="s">
        <v>18</v>
      </c>
      <c r="D267" s="2">
        <v>73454.539999999994</v>
      </c>
      <c r="E267" s="2">
        <v>8129</v>
      </c>
      <c r="F267" s="2">
        <v>0.21099999999999999</v>
      </c>
      <c r="G267" s="2">
        <v>20</v>
      </c>
      <c r="H267" s="2">
        <v>85.2</v>
      </c>
      <c r="I267" s="2">
        <v>0.88</v>
      </c>
      <c r="J267" s="2">
        <v>0</v>
      </c>
      <c r="K267" s="2">
        <v>3.9</v>
      </c>
      <c r="L267" s="2">
        <v>767792.94</v>
      </c>
      <c r="M267" s="2">
        <v>96235.77</v>
      </c>
      <c r="N267">
        <f t="shared" si="24"/>
        <v>0</v>
      </c>
      <c r="O267">
        <f t="shared" si="25"/>
        <v>0</v>
      </c>
      <c r="P267">
        <f t="shared" si="26"/>
        <v>0</v>
      </c>
      <c r="Q267">
        <f t="shared" si="27"/>
        <v>0</v>
      </c>
      <c r="R267">
        <f t="shared" si="28"/>
        <v>0</v>
      </c>
      <c r="S267">
        <f t="shared" si="29"/>
        <v>0</v>
      </c>
    </row>
    <row r="268" spans="1:19">
      <c r="A268" s="2" t="s">
        <v>88</v>
      </c>
      <c r="B268" s="2" t="s">
        <v>15</v>
      </c>
      <c r="C268" s="2" t="s">
        <v>18</v>
      </c>
      <c r="D268" s="2">
        <v>56602.39</v>
      </c>
      <c r="E268" s="2">
        <v>7969</v>
      </c>
      <c r="F268" s="2">
        <v>0.17</v>
      </c>
      <c r="G268" s="2">
        <v>21</v>
      </c>
      <c r="H268" s="2">
        <v>88.3</v>
      </c>
      <c r="I268" s="2">
        <v>2.25</v>
      </c>
      <c r="J268" s="2">
        <v>0</v>
      </c>
      <c r="K268" s="2">
        <v>3.9</v>
      </c>
      <c r="L268" s="2">
        <v>745580.51</v>
      </c>
      <c r="M268" s="2">
        <v>116273.68</v>
      </c>
      <c r="N268">
        <f t="shared" si="24"/>
        <v>0</v>
      </c>
      <c r="O268">
        <f t="shared" si="25"/>
        <v>0</v>
      </c>
      <c r="P268">
        <f t="shared" si="26"/>
        <v>0</v>
      </c>
      <c r="Q268">
        <f t="shared" si="27"/>
        <v>0</v>
      </c>
      <c r="R268">
        <f t="shared" si="28"/>
        <v>0</v>
      </c>
      <c r="S268">
        <f t="shared" si="29"/>
        <v>0</v>
      </c>
    </row>
    <row r="269" spans="1:19">
      <c r="A269" s="2" t="s">
        <v>88</v>
      </c>
      <c r="B269" s="2" t="s">
        <v>15</v>
      </c>
      <c r="C269" s="2" t="s">
        <v>18</v>
      </c>
      <c r="D269" s="2">
        <v>67722.289999999994</v>
      </c>
      <c r="E269" s="2">
        <v>7240</v>
      </c>
      <c r="F269" s="2">
        <v>2.5999999999999999E-2</v>
      </c>
      <c r="G269" s="2">
        <v>15</v>
      </c>
      <c r="H269" s="2">
        <v>92.9</v>
      </c>
      <c r="I269" s="2">
        <v>0.28999999999999998</v>
      </c>
      <c r="J269" s="2">
        <v>0</v>
      </c>
      <c r="K269" s="2">
        <v>3.9</v>
      </c>
      <c r="L269" s="2">
        <v>762328.31</v>
      </c>
      <c r="M269" s="2">
        <v>159158.19</v>
      </c>
      <c r="N269">
        <f t="shared" si="24"/>
        <v>0</v>
      </c>
      <c r="O269">
        <f t="shared" si="25"/>
        <v>0</v>
      </c>
      <c r="P269">
        <f t="shared" si="26"/>
        <v>0</v>
      </c>
      <c r="Q269">
        <f t="shared" si="27"/>
        <v>0</v>
      </c>
      <c r="R269">
        <f t="shared" si="28"/>
        <v>0</v>
      </c>
      <c r="S269">
        <f t="shared" si="29"/>
        <v>0</v>
      </c>
    </row>
    <row r="270" spans="1:19">
      <c r="A270" s="2" t="s">
        <v>89</v>
      </c>
      <c r="B270" s="2" t="s">
        <v>15</v>
      </c>
      <c r="C270" s="2" t="s">
        <v>28</v>
      </c>
      <c r="D270" s="2">
        <v>48752.92</v>
      </c>
      <c r="E270" s="2">
        <v>8052</v>
      </c>
      <c r="F270" s="2">
        <v>0.106</v>
      </c>
      <c r="G270" s="2">
        <v>16</v>
      </c>
      <c r="H270" s="2">
        <v>94.9</v>
      </c>
      <c r="I270" s="2">
        <v>0.65</v>
      </c>
      <c r="J270" s="2">
        <v>0</v>
      </c>
      <c r="K270" s="2">
        <v>3.9</v>
      </c>
      <c r="L270" s="2">
        <v>660633.99</v>
      </c>
      <c r="M270" s="2">
        <v>118768.66</v>
      </c>
      <c r="N270">
        <f t="shared" si="24"/>
        <v>0</v>
      </c>
      <c r="O270">
        <f t="shared" si="25"/>
        <v>0</v>
      </c>
      <c r="P270">
        <f t="shared" si="26"/>
        <v>0</v>
      </c>
      <c r="Q270">
        <f t="shared" si="27"/>
        <v>0</v>
      </c>
      <c r="R270">
        <f t="shared" si="28"/>
        <v>1</v>
      </c>
      <c r="S270">
        <f t="shared" si="29"/>
        <v>0</v>
      </c>
    </row>
    <row r="271" spans="1:19">
      <c r="A271" s="2" t="s">
        <v>89</v>
      </c>
      <c r="B271" s="2" t="s">
        <v>15</v>
      </c>
      <c r="C271" s="2" t="s">
        <v>28</v>
      </c>
      <c r="D271" s="2">
        <v>23914.97</v>
      </c>
      <c r="E271" s="2">
        <v>8018</v>
      </c>
      <c r="F271" s="2">
        <v>0.13900000000000001</v>
      </c>
      <c r="G271" s="2">
        <v>20</v>
      </c>
      <c r="H271" s="2">
        <v>89</v>
      </c>
      <c r="I271" s="2">
        <v>0.2</v>
      </c>
      <c r="J271" s="2">
        <v>0</v>
      </c>
      <c r="K271" s="2">
        <v>3.9</v>
      </c>
      <c r="L271" s="2">
        <v>739374.56</v>
      </c>
      <c r="M271" s="2">
        <v>121032.29</v>
      </c>
      <c r="N271">
        <f t="shared" si="24"/>
        <v>0</v>
      </c>
      <c r="O271">
        <f t="shared" si="25"/>
        <v>0</v>
      </c>
      <c r="P271">
        <f t="shared" si="26"/>
        <v>0</v>
      </c>
      <c r="Q271">
        <f t="shared" si="27"/>
        <v>0</v>
      </c>
      <c r="R271">
        <f t="shared" si="28"/>
        <v>1</v>
      </c>
      <c r="S271">
        <f t="shared" si="29"/>
        <v>0</v>
      </c>
    </row>
    <row r="272" spans="1:19">
      <c r="A272" s="2" t="s">
        <v>89</v>
      </c>
      <c r="B272" s="2" t="s">
        <v>15</v>
      </c>
      <c r="C272" s="2" t="s">
        <v>28</v>
      </c>
      <c r="D272" s="2">
        <v>61995.3</v>
      </c>
      <c r="E272" s="2">
        <v>10192</v>
      </c>
      <c r="F272" s="2">
        <v>0.19800000000000001</v>
      </c>
      <c r="G272" s="2">
        <v>21</v>
      </c>
      <c r="H272" s="2">
        <v>87.6</v>
      </c>
      <c r="I272" s="2">
        <v>3.63</v>
      </c>
      <c r="J272" s="2">
        <v>1</v>
      </c>
      <c r="K272" s="2">
        <v>3.9</v>
      </c>
      <c r="L272" s="2">
        <v>799756.46</v>
      </c>
      <c r="M272" s="2">
        <v>105052.93</v>
      </c>
      <c r="N272">
        <f t="shared" si="24"/>
        <v>0</v>
      </c>
      <c r="O272">
        <f t="shared" si="25"/>
        <v>0</v>
      </c>
      <c r="P272">
        <f t="shared" si="26"/>
        <v>0</v>
      </c>
      <c r="Q272">
        <f t="shared" si="27"/>
        <v>0</v>
      </c>
      <c r="R272">
        <f t="shared" si="28"/>
        <v>1</v>
      </c>
      <c r="S272">
        <f t="shared" si="29"/>
        <v>0</v>
      </c>
    </row>
    <row r="273" spans="1:19">
      <c r="A273" s="2" t="s">
        <v>89</v>
      </c>
      <c r="B273" s="2" t="s">
        <v>15</v>
      </c>
      <c r="C273" s="2" t="s">
        <v>28</v>
      </c>
      <c r="D273" s="2">
        <v>29344.93</v>
      </c>
      <c r="E273" s="2">
        <v>7446</v>
      </c>
      <c r="F273" s="2">
        <v>0.111</v>
      </c>
      <c r="G273" s="2">
        <v>15</v>
      </c>
      <c r="H273" s="2">
        <v>86.2</v>
      </c>
      <c r="I273" s="2">
        <v>0.2</v>
      </c>
      <c r="J273" s="2">
        <v>0</v>
      </c>
      <c r="K273" s="2">
        <v>3.9</v>
      </c>
      <c r="L273" s="2">
        <v>593343</v>
      </c>
      <c r="M273" s="2">
        <v>82832.240000000005</v>
      </c>
      <c r="N273">
        <f t="shared" si="24"/>
        <v>0</v>
      </c>
      <c r="O273">
        <f t="shared" si="25"/>
        <v>0</v>
      </c>
      <c r="P273">
        <f t="shared" si="26"/>
        <v>0</v>
      </c>
      <c r="Q273">
        <f t="shared" si="27"/>
        <v>0</v>
      </c>
      <c r="R273">
        <f t="shared" si="28"/>
        <v>1</v>
      </c>
      <c r="S273">
        <f t="shared" si="29"/>
        <v>0</v>
      </c>
    </row>
    <row r="274" spans="1:19">
      <c r="A274" s="2" t="s">
        <v>90</v>
      </c>
      <c r="B274" s="2" t="s">
        <v>27</v>
      </c>
      <c r="C274" s="2" t="s">
        <v>18</v>
      </c>
      <c r="D274" s="2">
        <v>50532.17</v>
      </c>
      <c r="E274" s="2">
        <v>5689</v>
      </c>
      <c r="F274" s="2">
        <v>5.1999999999999998E-2</v>
      </c>
      <c r="G274" s="2">
        <v>17</v>
      </c>
      <c r="H274" s="2">
        <v>85.6</v>
      </c>
      <c r="I274" s="2">
        <v>6.23</v>
      </c>
      <c r="J274" s="2">
        <v>0</v>
      </c>
      <c r="K274" s="2">
        <v>3.9</v>
      </c>
      <c r="L274" s="2">
        <v>645039.97</v>
      </c>
      <c r="M274" s="2">
        <v>83093.33</v>
      </c>
      <c r="N274">
        <f t="shared" si="24"/>
        <v>0</v>
      </c>
      <c r="O274">
        <f t="shared" si="25"/>
        <v>0</v>
      </c>
      <c r="P274">
        <f t="shared" si="26"/>
        <v>1</v>
      </c>
      <c r="Q274">
        <f t="shared" si="27"/>
        <v>0</v>
      </c>
      <c r="R274">
        <f t="shared" si="28"/>
        <v>0</v>
      </c>
      <c r="S274">
        <f t="shared" si="29"/>
        <v>0</v>
      </c>
    </row>
    <row r="275" spans="1:19">
      <c r="A275" s="2" t="s">
        <v>90</v>
      </c>
      <c r="B275" s="2" t="s">
        <v>27</v>
      </c>
      <c r="C275" s="2" t="s">
        <v>18</v>
      </c>
      <c r="D275" s="2">
        <v>17562.57</v>
      </c>
      <c r="E275" s="2">
        <v>3326</v>
      </c>
      <c r="F275" s="2">
        <v>0.153</v>
      </c>
      <c r="G275" s="2">
        <v>14</v>
      </c>
      <c r="H275" s="2">
        <v>88.1</v>
      </c>
      <c r="I275" s="2">
        <v>1.04</v>
      </c>
      <c r="J275" s="2">
        <v>0</v>
      </c>
      <c r="K275" s="2">
        <v>3.9</v>
      </c>
      <c r="L275" s="2">
        <v>561597.32999999996</v>
      </c>
      <c r="M275" s="2">
        <v>75072.75</v>
      </c>
      <c r="N275">
        <f t="shared" si="24"/>
        <v>0</v>
      </c>
      <c r="O275">
        <f t="shared" si="25"/>
        <v>0</v>
      </c>
      <c r="P275">
        <f t="shared" si="26"/>
        <v>1</v>
      </c>
      <c r="Q275">
        <f t="shared" si="27"/>
        <v>0</v>
      </c>
      <c r="R275">
        <f t="shared" si="28"/>
        <v>0</v>
      </c>
      <c r="S275">
        <f t="shared" si="29"/>
        <v>0</v>
      </c>
    </row>
    <row r="276" spans="1:19">
      <c r="A276" s="2" t="s">
        <v>90</v>
      </c>
      <c r="B276" s="2" t="s">
        <v>27</v>
      </c>
      <c r="C276" s="2" t="s">
        <v>18</v>
      </c>
      <c r="D276" s="2">
        <v>47648.71</v>
      </c>
      <c r="E276" s="2">
        <v>5767</v>
      </c>
      <c r="F276" s="2">
        <v>0.14099999999999999</v>
      </c>
      <c r="G276" s="2">
        <v>17</v>
      </c>
      <c r="H276" s="2">
        <v>89.8</v>
      </c>
      <c r="I276" s="2">
        <v>1.76</v>
      </c>
      <c r="J276" s="2">
        <v>0</v>
      </c>
      <c r="K276" s="2">
        <v>3.9</v>
      </c>
      <c r="L276" s="2">
        <v>635837.74</v>
      </c>
      <c r="M276" s="2">
        <v>114740.64</v>
      </c>
      <c r="N276">
        <f t="shared" si="24"/>
        <v>0</v>
      </c>
      <c r="O276">
        <f t="shared" si="25"/>
        <v>0</v>
      </c>
      <c r="P276">
        <f t="shared" si="26"/>
        <v>1</v>
      </c>
      <c r="Q276">
        <f t="shared" si="27"/>
        <v>0</v>
      </c>
      <c r="R276">
        <f t="shared" si="28"/>
        <v>0</v>
      </c>
      <c r="S276">
        <f t="shared" si="29"/>
        <v>0</v>
      </c>
    </row>
    <row r="277" spans="1:19">
      <c r="A277" s="2" t="s">
        <v>90</v>
      </c>
      <c r="B277" s="2" t="s">
        <v>27</v>
      </c>
      <c r="C277" s="2" t="s">
        <v>18</v>
      </c>
      <c r="D277" s="2">
        <v>38297.58</v>
      </c>
      <c r="E277" s="2">
        <v>5893</v>
      </c>
      <c r="F277" s="2">
        <v>0.247</v>
      </c>
      <c r="G277" s="2">
        <v>18</v>
      </c>
      <c r="H277" s="2">
        <v>77.599999999999994</v>
      </c>
      <c r="I277" s="2">
        <v>2.86</v>
      </c>
      <c r="J277" s="2">
        <v>0</v>
      </c>
      <c r="K277" s="2">
        <v>3.9</v>
      </c>
      <c r="L277" s="2">
        <v>686737.87</v>
      </c>
      <c r="M277" s="2">
        <v>83839.67</v>
      </c>
      <c r="N277">
        <f t="shared" si="24"/>
        <v>0</v>
      </c>
      <c r="O277">
        <f t="shared" si="25"/>
        <v>0</v>
      </c>
      <c r="P277">
        <f t="shared" si="26"/>
        <v>1</v>
      </c>
      <c r="Q277">
        <f t="shared" si="27"/>
        <v>0</v>
      </c>
      <c r="R277">
        <f t="shared" si="28"/>
        <v>0</v>
      </c>
      <c r="S277">
        <f t="shared" si="29"/>
        <v>0</v>
      </c>
    </row>
    <row r="278" spans="1:19">
      <c r="A278" s="2" t="s">
        <v>91</v>
      </c>
      <c r="B278" s="2" t="s">
        <v>24</v>
      </c>
      <c r="C278" s="2" t="s">
        <v>16</v>
      </c>
      <c r="D278" s="2">
        <v>61784.11</v>
      </c>
      <c r="E278" s="2">
        <v>8564</v>
      </c>
      <c r="F278" s="2">
        <v>0.13</v>
      </c>
      <c r="G278" s="2">
        <v>17</v>
      </c>
      <c r="H278" s="2">
        <v>87.4</v>
      </c>
      <c r="I278" s="2">
        <v>18.14</v>
      </c>
      <c r="J278" s="2">
        <v>1</v>
      </c>
      <c r="K278" s="2">
        <v>3.9</v>
      </c>
      <c r="L278" s="2">
        <v>673076.34</v>
      </c>
      <c r="M278" s="2">
        <v>93899.76</v>
      </c>
      <c r="N278">
        <f t="shared" si="24"/>
        <v>0</v>
      </c>
      <c r="O278">
        <f t="shared" si="25"/>
        <v>1</v>
      </c>
      <c r="P278">
        <f t="shared" si="26"/>
        <v>0</v>
      </c>
      <c r="Q278">
        <f t="shared" si="27"/>
        <v>0</v>
      </c>
      <c r="R278">
        <f t="shared" si="28"/>
        <v>0</v>
      </c>
      <c r="S278">
        <f t="shared" si="29"/>
        <v>1</v>
      </c>
    </row>
    <row r="279" spans="1:19">
      <c r="A279" s="2" t="s">
        <v>91</v>
      </c>
      <c r="B279" s="2" t="s">
        <v>24</v>
      </c>
      <c r="C279" s="2" t="s">
        <v>16</v>
      </c>
      <c r="D279" s="2">
        <v>36832.33</v>
      </c>
      <c r="E279" s="2">
        <v>8001</v>
      </c>
      <c r="F279" s="2">
        <v>0</v>
      </c>
      <c r="G279" s="2">
        <v>19</v>
      </c>
      <c r="H279" s="2">
        <v>88.7</v>
      </c>
      <c r="I279" s="2">
        <v>3.39</v>
      </c>
      <c r="J279" s="2">
        <v>0</v>
      </c>
      <c r="K279" s="2">
        <v>3.9</v>
      </c>
      <c r="L279" s="2">
        <v>738548.42</v>
      </c>
      <c r="M279" s="2">
        <v>134282.76999999999</v>
      </c>
      <c r="N279">
        <f t="shared" si="24"/>
        <v>0</v>
      </c>
      <c r="O279">
        <f t="shared" si="25"/>
        <v>1</v>
      </c>
      <c r="P279">
        <f t="shared" si="26"/>
        <v>0</v>
      </c>
      <c r="Q279">
        <f t="shared" si="27"/>
        <v>0</v>
      </c>
      <c r="R279">
        <f t="shared" si="28"/>
        <v>0</v>
      </c>
      <c r="S279">
        <f t="shared" si="29"/>
        <v>1</v>
      </c>
    </row>
    <row r="280" spans="1:19">
      <c r="A280" s="2" t="s">
        <v>91</v>
      </c>
      <c r="B280" s="2" t="s">
        <v>24</v>
      </c>
      <c r="C280" s="2" t="s">
        <v>16</v>
      </c>
      <c r="D280" s="2">
        <v>48609.41</v>
      </c>
      <c r="E280" s="2">
        <v>9324</v>
      </c>
      <c r="F280" s="2">
        <v>0.21299999999999999</v>
      </c>
      <c r="G280" s="2">
        <v>18</v>
      </c>
      <c r="H280" s="2">
        <v>86.5</v>
      </c>
      <c r="I280" s="2">
        <v>1.44</v>
      </c>
      <c r="J280" s="2">
        <v>0</v>
      </c>
      <c r="K280" s="2">
        <v>3.9</v>
      </c>
      <c r="L280" s="2">
        <v>756619.77</v>
      </c>
      <c r="M280" s="2">
        <v>112057.69</v>
      </c>
      <c r="N280">
        <f t="shared" si="24"/>
        <v>0</v>
      </c>
      <c r="O280">
        <f t="shared" si="25"/>
        <v>1</v>
      </c>
      <c r="P280">
        <f t="shared" si="26"/>
        <v>0</v>
      </c>
      <c r="Q280">
        <f t="shared" si="27"/>
        <v>0</v>
      </c>
      <c r="R280">
        <f t="shared" si="28"/>
        <v>0</v>
      </c>
      <c r="S280">
        <f t="shared" si="29"/>
        <v>1</v>
      </c>
    </row>
    <row r="281" spans="1:19">
      <c r="A281" s="2" t="s">
        <v>91</v>
      </c>
      <c r="B281" s="2" t="s">
        <v>24</v>
      </c>
      <c r="C281" s="2" t="s">
        <v>16</v>
      </c>
      <c r="D281" s="2">
        <v>70284.06</v>
      </c>
      <c r="E281" s="2">
        <v>9109</v>
      </c>
      <c r="F281" s="2">
        <v>4.0000000000000001E-3</v>
      </c>
      <c r="G281" s="2">
        <v>23</v>
      </c>
      <c r="H281" s="2">
        <v>87</v>
      </c>
      <c r="I281" s="2">
        <v>3.65</v>
      </c>
      <c r="J281" s="2">
        <v>0</v>
      </c>
      <c r="K281" s="2">
        <v>3.9</v>
      </c>
      <c r="L281" s="2">
        <v>761122.42</v>
      </c>
      <c r="M281" s="2">
        <v>149802.04</v>
      </c>
      <c r="N281">
        <f t="shared" si="24"/>
        <v>0</v>
      </c>
      <c r="O281">
        <f t="shared" si="25"/>
        <v>1</v>
      </c>
      <c r="P281">
        <f t="shared" si="26"/>
        <v>0</v>
      </c>
      <c r="Q281">
        <f t="shared" si="27"/>
        <v>0</v>
      </c>
      <c r="R281">
        <f t="shared" si="28"/>
        <v>0</v>
      </c>
      <c r="S281">
        <f t="shared" si="29"/>
        <v>1</v>
      </c>
    </row>
    <row r="282" spans="1:19">
      <c r="A282" s="2" t="s">
        <v>92</v>
      </c>
      <c r="B282" s="2" t="s">
        <v>24</v>
      </c>
      <c r="C282" s="2" t="s">
        <v>18</v>
      </c>
      <c r="D282" s="2">
        <v>45940.39</v>
      </c>
      <c r="E282" s="2">
        <v>4022</v>
      </c>
      <c r="F282" s="2">
        <v>6.9000000000000006E-2</v>
      </c>
      <c r="G282" s="2">
        <v>10</v>
      </c>
      <c r="H282" s="2">
        <v>83</v>
      </c>
      <c r="I282" s="2">
        <v>1.23</v>
      </c>
      <c r="J282" s="2">
        <v>1</v>
      </c>
      <c r="K282" s="2">
        <v>3.9</v>
      </c>
      <c r="L282" s="2">
        <v>524899.56999999995</v>
      </c>
      <c r="M282" s="2">
        <v>63619.98</v>
      </c>
      <c r="N282">
        <f t="shared" si="24"/>
        <v>0</v>
      </c>
      <c r="O282">
        <f t="shared" si="25"/>
        <v>1</v>
      </c>
      <c r="P282">
        <f t="shared" si="26"/>
        <v>0</v>
      </c>
      <c r="Q282">
        <f t="shared" si="27"/>
        <v>0</v>
      </c>
      <c r="R282">
        <f t="shared" si="28"/>
        <v>0</v>
      </c>
      <c r="S282">
        <f t="shared" si="29"/>
        <v>0</v>
      </c>
    </row>
    <row r="283" spans="1:19">
      <c r="A283" s="2" t="s">
        <v>92</v>
      </c>
      <c r="B283" s="2" t="s">
        <v>24</v>
      </c>
      <c r="C283" s="2" t="s">
        <v>18</v>
      </c>
      <c r="D283" s="2">
        <v>34771.26</v>
      </c>
      <c r="E283" s="2">
        <v>4355</v>
      </c>
      <c r="F283" s="2">
        <v>5.0999999999999997E-2</v>
      </c>
      <c r="G283" s="2">
        <v>15</v>
      </c>
      <c r="H283" s="2">
        <v>87.9</v>
      </c>
      <c r="I283" s="2">
        <v>3.09</v>
      </c>
      <c r="J283" s="2">
        <v>0</v>
      </c>
      <c r="K283" s="2">
        <v>3.9</v>
      </c>
      <c r="L283" s="2">
        <v>555557.77</v>
      </c>
      <c r="M283" s="2">
        <v>86475.51</v>
      </c>
      <c r="N283">
        <f t="shared" si="24"/>
        <v>0</v>
      </c>
      <c r="O283">
        <f t="shared" si="25"/>
        <v>1</v>
      </c>
      <c r="P283">
        <f t="shared" si="26"/>
        <v>0</v>
      </c>
      <c r="Q283">
        <f t="shared" si="27"/>
        <v>0</v>
      </c>
      <c r="R283">
        <f t="shared" si="28"/>
        <v>0</v>
      </c>
      <c r="S283">
        <f t="shared" si="29"/>
        <v>0</v>
      </c>
    </row>
    <row r="284" spans="1:19">
      <c r="A284" s="2" t="s">
        <v>92</v>
      </c>
      <c r="B284" s="2" t="s">
        <v>24</v>
      </c>
      <c r="C284" s="2" t="s">
        <v>18</v>
      </c>
      <c r="D284" s="2">
        <v>66104.19</v>
      </c>
      <c r="E284" s="2">
        <v>5745</v>
      </c>
      <c r="F284" s="2">
        <v>7.0000000000000007E-2</v>
      </c>
      <c r="G284" s="2">
        <v>17</v>
      </c>
      <c r="H284" s="2">
        <v>95.8</v>
      </c>
      <c r="I284" s="2">
        <v>3.15</v>
      </c>
      <c r="J284" s="2">
        <v>0</v>
      </c>
      <c r="K284" s="2">
        <v>3.9</v>
      </c>
      <c r="L284" s="2">
        <v>714083.68</v>
      </c>
      <c r="M284" s="2">
        <v>127231.74</v>
      </c>
      <c r="N284">
        <f t="shared" si="24"/>
        <v>0</v>
      </c>
      <c r="O284">
        <f t="shared" si="25"/>
        <v>1</v>
      </c>
      <c r="P284">
        <f t="shared" si="26"/>
        <v>0</v>
      </c>
      <c r="Q284">
        <f t="shared" si="27"/>
        <v>0</v>
      </c>
      <c r="R284">
        <f t="shared" si="28"/>
        <v>0</v>
      </c>
      <c r="S284">
        <f t="shared" si="29"/>
        <v>0</v>
      </c>
    </row>
    <row r="285" spans="1:19">
      <c r="A285" s="2" t="s">
        <v>92</v>
      </c>
      <c r="B285" s="2" t="s">
        <v>24</v>
      </c>
      <c r="C285" s="2" t="s">
        <v>18</v>
      </c>
      <c r="D285" s="2">
        <v>18599.21</v>
      </c>
      <c r="E285" s="2">
        <v>3027</v>
      </c>
      <c r="F285" s="2">
        <v>0.122</v>
      </c>
      <c r="G285" s="2">
        <v>11</v>
      </c>
      <c r="H285" s="2">
        <v>80.900000000000006</v>
      </c>
      <c r="I285" s="2">
        <v>6.44</v>
      </c>
      <c r="J285" s="2">
        <v>0</v>
      </c>
      <c r="K285" s="2">
        <v>3.9</v>
      </c>
      <c r="L285" s="2">
        <v>497439.82</v>
      </c>
      <c r="M285" s="2">
        <v>93372.75</v>
      </c>
      <c r="N285">
        <f t="shared" si="24"/>
        <v>0</v>
      </c>
      <c r="O285">
        <f t="shared" si="25"/>
        <v>1</v>
      </c>
      <c r="P285">
        <f t="shared" si="26"/>
        <v>0</v>
      </c>
      <c r="Q285">
        <f t="shared" si="27"/>
        <v>0</v>
      </c>
      <c r="R285">
        <f t="shared" si="28"/>
        <v>0</v>
      </c>
      <c r="S285">
        <f t="shared" si="29"/>
        <v>0</v>
      </c>
    </row>
    <row r="286" spans="1:19">
      <c r="A286" s="2" t="s">
        <v>93</v>
      </c>
      <c r="B286" s="2" t="s">
        <v>27</v>
      </c>
      <c r="C286" s="2" t="s">
        <v>16</v>
      </c>
      <c r="D286" s="2">
        <v>60183.06</v>
      </c>
      <c r="E286" s="2">
        <v>5562</v>
      </c>
      <c r="F286" s="2">
        <v>8.9999999999999993E-3</v>
      </c>
      <c r="G286" s="2">
        <v>13</v>
      </c>
      <c r="H286" s="2">
        <v>86.3</v>
      </c>
      <c r="I286" s="2">
        <v>0.2</v>
      </c>
      <c r="J286" s="2">
        <v>1</v>
      </c>
      <c r="K286" s="2">
        <v>3.9</v>
      </c>
      <c r="L286" s="2">
        <v>636775.66</v>
      </c>
      <c r="M286" s="2">
        <v>122636.86</v>
      </c>
      <c r="N286">
        <f t="shared" si="24"/>
        <v>0</v>
      </c>
      <c r="O286">
        <f t="shared" si="25"/>
        <v>0</v>
      </c>
      <c r="P286">
        <f t="shared" si="26"/>
        <v>1</v>
      </c>
      <c r="Q286">
        <f t="shared" si="27"/>
        <v>0</v>
      </c>
      <c r="R286">
        <f t="shared" si="28"/>
        <v>0</v>
      </c>
      <c r="S286">
        <f t="shared" si="29"/>
        <v>1</v>
      </c>
    </row>
    <row r="287" spans="1:19">
      <c r="A287" s="2" t="s">
        <v>93</v>
      </c>
      <c r="B287" s="2" t="s">
        <v>27</v>
      </c>
      <c r="C287" s="2" t="s">
        <v>16</v>
      </c>
      <c r="D287" s="2">
        <v>74539.14</v>
      </c>
      <c r="E287" s="2">
        <v>4487</v>
      </c>
      <c r="F287" s="2">
        <v>0.14000000000000001</v>
      </c>
      <c r="G287" s="2">
        <v>10</v>
      </c>
      <c r="H287" s="2">
        <v>90.4</v>
      </c>
      <c r="I287" s="2">
        <v>0.59</v>
      </c>
      <c r="J287" s="2">
        <v>0</v>
      </c>
      <c r="K287" s="2">
        <v>3.9</v>
      </c>
      <c r="L287" s="2">
        <v>633009.53</v>
      </c>
      <c r="M287" s="2">
        <v>123782.67</v>
      </c>
      <c r="N287">
        <f t="shared" si="24"/>
        <v>0</v>
      </c>
      <c r="O287">
        <f t="shared" si="25"/>
        <v>0</v>
      </c>
      <c r="P287">
        <f t="shared" si="26"/>
        <v>1</v>
      </c>
      <c r="Q287">
        <f t="shared" si="27"/>
        <v>0</v>
      </c>
      <c r="R287">
        <f t="shared" si="28"/>
        <v>0</v>
      </c>
      <c r="S287">
        <f t="shared" si="29"/>
        <v>1</v>
      </c>
    </row>
    <row r="288" spans="1:19">
      <c r="A288" s="2" t="s">
        <v>93</v>
      </c>
      <c r="B288" s="2" t="s">
        <v>27</v>
      </c>
      <c r="C288" s="2" t="s">
        <v>16</v>
      </c>
      <c r="D288" s="2">
        <v>55371.97</v>
      </c>
      <c r="E288" s="2">
        <v>4162</v>
      </c>
      <c r="F288" s="2">
        <v>0.183</v>
      </c>
      <c r="G288" s="2">
        <v>11</v>
      </c>
      <c r="H288" s="2">
        <v>92</v>
      </c>
      <c r="I288" s="2">
        <v>0.2</v>
      </c>
      <c r="J288" s="2">
        <v>1</v>
      </c>
      <c r="K288" s="2">
        <v>3.9</v>
      </c>
      <c r="L288" s="2">
        <v>609949</v>
      </c>
      <c r="M288" s="2">
        <v>126789.25</v>
      </c>
      <c r="N288">
        <f t="shared" si="24"/>
        <v>0</v>
      </c>
      <c r="O288">
        <f t="shared" si="25"/>
        <v>0</v>
      </c>
      <c r="P288">
        <f t="shared" si="26"/>
        <v>1</v>
      </c>
      <c r="Q288">
        <f t="shared" si="27"/>
        <v>0</v>
      </c>
      <c r="R288">
        <f t="shared" si="28"/>
        <v>0</v>
      </c>
      <c r="S288">
        <f t="shared" si="29"/>
        <v>1</v>
      </c>
    </row>
    <row r="289" spans="1:19">
      <c r="A289" s="2" t="s">
        <v>93</v>
      </c>
      <c r="B289" s="2" t="s">
        <v>27</v>
      </c>
      <c r="C289" s="2" t="s">
        <v>16</v>
      </c>
      <c r="D289" s="2">
        <v>40928.69</v>
      </c>
      <c r="E289" s="2">
        <v>4094</v>
      </c>
      <c r="F289" s="2">
        <v>0.17399999999999999</v>
      </c>
      <c r="G289" s="2">
        <v>13</v>
      </c>
      <c r="H289" s="2">
        <v>82.4</v>
      </c>
      <c r="I289" s="2">
        <v>1.36</v>
      </c>
      <c r="J289" s="2">
        <v>0</v>
      </c>
      <c r="K289" s="2">
        <v>3.9</v>
      </c>
      <c r="L289" s="2">
        <v>548103.69999999995</v>
      </c>
      <c r="M289" s="2">
        <v>99905.52</v>
      </c>
      <c r="N289">
        <f t="shared" si="24"/>
        <v>0</v>
      </c>
      <c r="O289">
        <f t="shared" si="25"/>
        <v>0</v>
      </c>
      <c r="P289">
        <f t="shared" si="26"/>
        <v>1</v>
      </c>
      <c r="Q289">
        <f t="shared" si="27"/>
        <v>0</v>
      </c>
      <c r="R289">
        <f t="shared" si="28"/>
        <v>0</v>
      </c>
      <c r="S289">
        <f t="shared" si="29"/>
        <v>1</v>
      </c>
    </row>
    <row r="290" spans="1:19">
      <c r="A290" s="2" t="s">
        <v>94</v>
      </c>
      <c r="B290" s="2" t="s">
        <v>15</v>
      </c>
      <c r="C290" s="2" t="s">
        <v>16</v>
      </c>
      <c r="D290" s="2">
        <v>70012.41</v>
      </c>
      <c r="E290" s="2">
        <v>8484</v>
      </c>
      <c r="F290" s="2">
        <v>0.27300000000000002</v>
      </c>
      <c r="G290" s="2">
        <v>23</v>
      </c>
      <c r="H290" s="2">
        <v>72.900000000000006</v>
      </c>
      <c r="I290" s="2">
        <v>3.34</v>
      </c>
      <c r="J290" s="2">
        <v>0</v>
      </c>
      <c r="K290" s="2">
        <v>3.9</v>
      </c>
      <c r="L290" s="2">
        <v>729424.42</v>
      </c>
      <c r="M290" s="2">
        <v>75592.28</v>
      </c>
      <c r="N290">
        <f t="shared" si="24"/>
        <v>0</v>
      </c>
      <c r="O290">
        <f t="shared" si="25"/>
        <v>0</v>
      </c>
      <c r="P290">
        <f t="shared" si="26"/>
        <v>0</v>
      </c>
      <c r="Q290">
        <f t="shared" si="27"/>
        <v>0</v>
      </c>
      <c r="R290">
        <f t="shared" si="28"/>
        <v>0</v>
      </c>
      <c r="S290">
        <f t="shared" si="29"/>
        <v>1</v>
      </c>
    </row>
    <row r="291" spans="1:19">
      <c r="A291" s="2" t="s">
        <v>94</v>
      </c>
      <c r="B291" s="2" t="s">
        <v>15</v>
      </c>
      <c r="C291" s="2" t="s">
        <v>16</v>
      </c>
      <c r="D291" s="2">
        <v>68909.259999999995</v>
      </c>
      <c r="E291" s="2">
        <v>7794</v>
      </c>
      <c r="F291" s="2">
        <v>0.28399999999999997</v>
      </c>
      <c r="G291" s="2">
        <v>22</v>
      </c>
      <c r="H291" s="2">
        <v>89</v>
      </c>
      <c r="I291" s="2">
        <v>0.33</v>
      </c>
      <c r="J291" s="2">
        <v>0</v>
      </c>
      <c r="K291" s="2">
        <v>3.9</v>
      </c>
      <c r="L291" s="2">
        <v>696261.49</v>
      </c>
      <c r="M291" s="2">
        <v>72455.350000000006</v>
      </c>
      <c r="N291">
        <f t="shared" si="24"/>
        <v>0</v>
      </c>
      <c r="O291">
        <f t="shared" si="25"/>
        <v>0</v>
      </c>
      <c r="P291">
        <f t="shared" si="26"/>
        <v>0</v>
      </c>
      <c r="Q291">
        <f t="shared" si="27"/>
        <v>0</v>
      </c>
      <c r="R291">
        <f t="shared" si="28"/>
        <v>0</v>
      </c>
      <c r="S291">
        <f t="shared" si="29"/>
        <v>1</v>
      </c>
    </row>
    <row r="292" spans="1:19">
      <c r="A292" s="2" t="s">
        <v>94</v>
      </c>
      <c r="B292" s="2" t="s">
        <v>15</v>
      </c>
      <c r="C292" s="2" t="s">
        <v>16</v>
      </c>
      <c r="D292" s="2">
        <v>56737.3</v>
      </c>
      <c r="E292" s="2">
        <v>8300</v>
      </c>
      <c r="F292" s="2">
        <v>3.2000000000000001E-2</v>
      </c>
      <c r="G292" s="2">
        <v>21</v>
      </c>
      <c r="H292" s="2">
        <v>83.2</v>
      </c>
      <c r="I292" s="2">
        <v>3.44</v>
      </c>
      <c r="J292" s="2">
        <v>1</v>
      </c>
      <c r="K292" s="2">
        <v>3.9</v>
      </c>
      <c r="L292" s="2">
        <v>813316.71</v>
      </c>
      <c r="M292" s="2">
        <v>110077.42</v>
      </c>
      <c r="N292">
        <f t="shared" si="24"/>
        <v>0</v>
      </c>
      <c r="O292">
        <f t="shared" si="25"/>
        <v>0</v>
      </c>
      <c r="P292">
        <f t="shared" si="26"/>
        <v>0</v>
      </c>
      <c r="Q292">
        <f t="shared" si="27"/>
        <v>0</v>
      </c>
      <c r="R292">
        <f t="shared" si="28"/>
        <v>0</v>
      </c>
      <c r="S292">
        <f t="shared" si="29"/>
        <v>1</v>
      </c>
    </row>
    <row r="293" spans="1:19">
      <c r="A293" s="2" t="s">
        <v>94</v>
      </c>
      <c r="B293" s="2" t="s">
        <v>15</v>
      </c>
      <c r="C293" s="2" t="s">
        <v>16</v>
      </c>
      <c r="D293" s="2">
        <v>54080.91</v>
      </c>
      <c r="E293" s="2">
        <v>7083</v>
      </c>
      <c r="F293" s="2">
        <v>0</v>
      </c>
      <c r="G293" s="2">
        <v>15</v>
      </c>
      <c r="H293" s="2">
        <v>97</v>
      </c>
      <c r="I293" s="2">
        <v>5.33</v>
      </c>
      <c r="J293" s="2">
        <v>0</v>
      </c>
      <c r="K293" s="2">
        <v>3.9</v>
      </c>
      <c r="L293" s="2">
        <v>702068.92</v>
      </c>
      <c r="M293" s="2">
        <v>111266.63</v>
      </c>
      <c r="N293">
        <f t="shared" si="24"/>
        <v>0</v>
      </c>
      <c r="O293">
        <f t="shared" si="25"/>
        <v>0</v>
      </c>
      <c r="P293">
        <f t="shared" si="26"/>
        <v>0</v>
      </c>
      <c r="Q293">
        <f t="shared" si="27"/>
        <v>0</v>
      </c>
      <c r="R293">
        <f t="shared" si="28"/>
        <v>0</v>
      </c>
      <c r="S293">
        <f t="shared" si="29"/>
        <v>1</v>
      </c>
    </row>
    <row r="294" spans="1:19">
      <c r="A294" s="2" t="s">
        <v>95</v>
      </c>
      <c r="B294" s="2" t="s">
        <v>27</v>
      </c>
      <c r="C294" s="2" t="s">
        <v>18</v>
      </c>
      <c r="D294" s="2">
        <v>51996.32</v>
      </c>
      <c r="E294" s="2">
        <v>3834</v>
      </c>
      <c r="F294" s="2">
        <v>9.6000000000000002E-2</v>
      </c>
      <c r="G294" s="2">
        <v>8</v>
      </c>
      <c r="H294" s="2">
        <v>86.7</v>
      </c>
      <c r="I294" s="2">
        <v>6.04</v>
      </c>
      <c r="J294" s="2">
        <v>0</v>
      </c>
      <c r="K294" s="2">
        <v>3.9</v>
      </c>
      <c r="L294" s="2">
        <v>546223.69999999995</v>
      </c>
      <c r="M294" s="2">
        <v>100769.17</v>
      </c>
      <c r="N294">
        <f t="shared" si="24"/>
        <v>0</v>
      </c>
      <c r="O294">
        <f t="shared" si="25"/>
        <v>0</v>
      </c>
      <c r="P294">
        <f t="shared" si="26"/>
        <v>1</v>
      </c>
      <c r="Q294">
        <f t="shared" si="27"/>
        <v>0</v>
      </c>
      <c r="R294">
        <f t="shared" si="28"/>
        <v>0</v>
      </c>
      <c r="S294">
        <f t="shared" si="29"/>
        <v>0</v>
      </c>
    </row>
    <row r="295" spans="1:19">
      <c r="A295" s="2" t="s">
        <v>95</v>
      </c>
      <c r="B295" s="2" t="s">
        <v>27</v>
      </c>
      <c r="C295" s="2" t="s">
        <v>18</v>
      </c>
      <c r="D295" s="2">
        <v>40102.879999999997</v>
      </c>
      <c r="E295" s="2">
        <v>2358</v>
      </c>
      <c r="F295" s="2">
        <v>0.11899999999999999</v>
      </c>
      <c r="G295" s="2">
        <v>9</v>
      </c>
      <c r="H295" s="2">
        <v>88.7</v>
      </c>
      <c r="I295" s="2">
        <v>1.6</v>
      </c>
      <c r="J295" s="2">
        <v>0</v>
      </c>
      <c r="K295" s="2">
        <v>3.9</v>
      </c>
      <c r="L295" s="2">
        <v>533121.26</v>
      </c>
      <c r="M295" s="2">
        <v>55063.39</v>
      </c>
      <c r="N295">
        <f t="shared" si="24"/>
        <v>0</v>
      </c>
      <c r="O295">
        <f t="shared" si="25"/>
        <v>0</v>
      </c>
      <c r="P295">
        <f t="shared" si="26"/>
        <v>1</v>
      </c>
      <c r="Q295">
        <f t="shared" si="27"/>
        <v>0</v>
      </c>
      <c r="R295">
        <f t="shared" si="28"/>
        <v>0</v>
      </c>
      <c r="S295">
        <f t="shared" si="29"/>
        <v>0</v>
      </c>
    </row>
    <row r="296" spans="1:19">
      <c r="A296" s="2" t="s">
        <v>95</v>
      </c>
      <c r="B296" s="2" t="s">
        <v>27</v>
      </c>
      <c r="C296" s="2" t="s">
        <v>18</v>
      </c>
      <c r="D296" s="2">
        <v>59825.51</v>
      </c>
      <c r="E296" s="2">
        <v>1231</v>
      </c>
      <c r="F296" s="2">
        <v>0.214</v>
      </c>
      <c r="G296" s="2">
        <v>10</v>
      </c>
      <c r="H296" s="2">
        <v>84.8</v>
      </c>
      <c r="I296" s="2">
        <v>8.9600000000000009</v>
      </c>
      <c r="J296" s="2">
        <v>0</v>
      </c>
      <c r="K296" s="2">
        <v>3.9</v>
      </c>
      <c r="L296" s="2">
        <v>498970.32</v>
      </c>
      <c r="M296" s="2">
        <v>69656.7</v>
      </c>
      <c r="N296">
        <f t="shared" si="24"/>
        <v>0</v>
      </c>
      <c r="O296">
        <f t="shared" si="25"/>
        <v>0</v>
      </c>
      <c r="P296">
        <f t="shared" si="26"/>
        <v>1</v>
      </c>
      <c r="Q296">
        <f t="shared" si="27"/>
        <v>0</v>
      </c>
      <c r="R296">
        <f t="shared" si="28"/>
        <v>0</v>
      </c>
      <c r="S296">
        <f t="shared" si="29"/>
        <v>0</v>
      </c>
    </row>
    <row r="297" spans="1:19">
      <c r="A297" s="2" t="s">
        <v>95</v>
      </c>
      <c r="B297" s="2" t="s">
        <v>27</v>
      </c>
      <c r="C297" s="2" t="s">
        <v>18</v>
      </c>
      <c r="D297" s="2">
        <v>27398.28</v>
      </c>
      <c r="E297" s="2">
        <v>1723</v>
      </c>
      <c r="F297" s="2">
        <v>0.17100000000000001</v>
      </c>
      <c r="G297" s="2">
        <v>9</v>
      </c>
      <c r="H297" s="2">
        <v>81</v>
      </c>
      <c r="I297" s="2">
        <v>0.74</v>
      </c>
      <c r="J297" s="2">
        <v>0</v>
      </c>
      <c r="K297" s="2">
        <v>3.9</v>
      </c>
      <c r="L297" s="2">
        <v>487738.26</v>
      </c>
      <c r="M297" s="2">
        <v>96435.6</v>
      </c>
      <c r="N297">
        <f t="shared" si="24"/>
        <v>0</v>
      </c>
      <c r="O297">
        <f t="shared" si="25"/>
        <v>0</v>
      </c>
      <c r="P297">
        <f t="shared" si="26"/>
        <v>1</v>
      </c>
      <c r="Q297">
        <f t="shared" si="27"/>
        <v>0</v>
      </c>
      <c r="R297">
        <f t="shared" si="28"/>
        <v>0</v>
      </c>
      <c r="S297">
        <f t="shared" si="29"/>
        <v>0</v>
      </c>
    </row>
    <row r="298" spans="1:19">
      <c r="A298" s="2" t="s">
        <v>96</v>
      </c>
      <c r="B298" s="2" t="s">
        <v>27</v>
      </c>
      <c r="C298" s="2" t="s">
        <v>18</v>
      </c>
      <c r="D298" s="2">
        <v>55599.56</v>
      </c>
      <c r="E298" s="2">
        <v>5896</v>
      </c>
      <c r="F298" s="2">
        <v>3.5999999999999997E-2</v>
      </c>
      <c r="G298" s="2">
        <v>12</v>
      </c>
      <c r="H298" s="2">
        <v>93.1</v>
      </c>
      <c r="I298" s="2">
        <v>6.13</v>
      </c>
      <c r="J298" s="2">
        <v>0</v>
      </c>
      <c r="K298" s="2">
        <v>3.9</v>
      </c>
      <c r="L298" s="2">
        <v>668459.37</v>
      </c>
      <c r="M298" s="2">
        <v>126435.42</v>
      </c>
      <c r="N298">
        <f t="shared" si="24"/>
        <v>0</v>
      </c>
      <c r="O298">
        <f t="shared" si="25"/>
        <v>0</v>
      </c>
      <c r="P298">
        <f t="shared" si="26"/>
        <v>1</v>
      </c>
      <c r="Q298">
        <f t="shared" si="27"/>
        <v>0</v>
      </c>
      <c r="R298">
        <f t="shared" si="28"/>
        <v>0</v>
      </c>
      <c r="S298">
        <f t="shared" si="29"/>
        <v>0</v>
      </c>
    </row>
    <row r="299" spans="1:19">
      <c r="A299" s="2" t="s">
        <v>96</v>
      </c>
      <c r="B299" s="2" t="s">
        <v>27</v>
      </c>
      <c r="C299" s="2" t="s">
        <v>18</v>
      </c>
      <c r="D299" s="2">
        <v>55477.61</v>
      </c>
      <c r="E299" s="2">
        <v>5903</v>
      </c>
      <c r="F299" s="2">
        <v>0.10199999999999999</v>
      </c>
      <c r="G299" s="2">
        <v>14</v>
      </c>
      <c r="H299" s="2">
        <v>96.2</v>
      </c>
      <c r="I299" s="2">
        <v>1.41</v>
      </c>
      <c r="J299" s="2">
        <v>0</v>
      </c>
      <c r="K299" s="2">
        <v>3.9</v>
      </c>
      <c r="L299" s="2">
        <v>763162.45</v>
      </c>
      <c r="M299" s="2">
        <v>162524.04999999999</v>
      </c>
      <c r="N299">
        <f t="shared" si="24"/>
        <v>0</v>
      </c>
      <c r="O299">
        <f t="shared" si="25"/>
        <v>0</v>
      </c>
      <c r="P299">
        <f t="shared" si="26"/>
        <v>1</v>
      </c>
      <c r="Q299">
        <f t="shared" si="27"/>
        <v>0</v>
      </c>
      <c r="R299">
        <f t="shared" si="28"/>
        <v>0</v>
      </c>
      <c r="S299">
        <f t="shared" si="29"/>
        <v>0</v>
      </c>
    </row>
    <row r="300" spans="1:19">
      <c r="A300" s="2" t="s">
        <v>96</v>
      </c>
      <c r="B300" s="2" t="s">
        <v>27</v>
      </c>
      <c r="C300" s="2" t="s">
        <v>18</v>
      </c>
      <c r="D300" s="2">
        <v>46174.7</v>
      </c>
      <c r="E300" s="2">
        <v>4898</v>
      </c>
      <c r="F300" s="2">
        <v>0.114</v>
      </c>
      <c r="G300" s="2">
        <v>11</v>
      </c>
      <c r="H300" s="2">
        <v>91.7</v>
      </c>
      <c r="I300" s="2">
        <v>3.75</v>
      </c>
      <c r="J300" s="2">
        <v>0</v>
      </c>
      <c r="K300" s="2">
        <v>3.9</v>
      </c>
      <c r="L300" s="2">
        <v>599017.32999999996</v>
      </c>
      <c r="M300" s="2">
        <v>134009.92000000001</v>
      </c>
      <c r="N300">
        <f t="shared" si="24"/>
        <v>0</v>
      </c>
      <c r="O300">
        <f t="shared" si="25"/>
        <v>0</v>
      </c>
      <c r="P300">
        <f t="shared" si="26"/>
        <v>1</v>
      </c>
      <c r="Q300">
        <f t="shared" si="27"/>
        <v>0</v>
      </c>
      <c r="R300">
        <f t="shared" si="28"/>
        <v>0</v>
      </c>
      <c r="S300">
        <f t="shared" si="29"/>
        <v>0</v>
      </c>
    </row>
    <row r="301" spans="1:19">
      <c r="A301" s="2" t="s">
        <v>96</v>
      </c>
      <c r="B301" s="2" t="s">
        <v>27</v>
      </c>
      <c r="C301" s="2" t="s">
        <v>18</v>
      </c>
      <c r="D301" s="2">
        <v>24362.98</v>
      </c>
      <c r="E301" s="2">
        <v>1462</v>
      </c>
      <c r="F301" s="2">
        <v>0.11700000000000001</v>
      </c>
      <c r="G301" s="2">
        <v>6</v>
      </c>
      <c r="H301" s="2">
        <v>89.3</v>
      </c>
      <c r="I301" s="2">
        <v>15.06</v>
      </c>
      <c r="J301" s="2">
        <v>0</v>
      </c>
      <c r="K301" s="2">
        <v>3.9</v>
      </c>
      <c r="L301" s="2">
        <v>401582.58</v>
      </c>
      <c r="M301" s="2">
        <v>68454.929999999993</v>
      </c>
      <c r="N301">
        <f t="shared" si="24"/>
        <v>0</v>
      </c>
      <c r="O301">
        <f t="shared" si="25"/>
        <v>0</v>
      </c>
      <c r="P301">
        <f t="shared" si="26"/>
        <v>1</v>
      </c>
      <c r="Q301">
        <f t="shared" si="27"/>
        <v>0</v>
      </c>
      <c r="R301">
        <f t="shared" si="28"/>
        <v>0</v>
      </c>
      <c r="S301">
        <f t="shared" si="29"/>
        <v>0</v>
      </c>
    </row>
    <row r="302" spans="1:19">
      <c r="A302" s="2" t="s">
        <v>97</v>
      </c>
      <c r="B302" s="2" t="s">
        <v>20</v>
      </c>
      <c r="C302" s="2" t="s">
        <v>28</v>
      </c>
      <c r="D302" s="2">
        <v>40647.67</v>
      </c>
      <c r="E302" s="2">
        <v>8252</v>
      </c>
      <c r="F302" s="2">
        <v>0.14099999999999999</v>
      </c>
      <c r="G302" s="2">
        <v>22</v>
      </c>
      <c r="H302" s="2">
        <v>88.2</v>
      </c>
      <c r="I302" s="2">
        <v>5.07</v>
      </c>
      <c r="J302" s="2">
        <v>1</v>
      </c>
      <c r="K302" s="2">
        <v>3.9</v>
      </c>
      <c r="L302" s="2">
        <v>703812.99</v>
      </c>
      <c r="M302" s="2">
        <v>133577.98000000001</v>
      </c>
      <c r="N302">
        <f t="shared" si="24"/>
        <v>1</v>
      </c>
      <c r="O302">
        <f t="shared" si="25"/>
        <v>0</v>
      </c>
      <c r="P302">
        <f t="shared" si="26"/>
        <v>0</v>
      </c>
      <c r="Q302">
        <f t="shared" si="27"/>
        <v>0</v>
      </c>
      <c r="R302">
        <f t="shared" si="28"/>
        <v>1</v>
      </c>
      <c r="S302">
        <f t="shared" si="29"/>
        <v>0</v>
      </c>
    </row>
    <row r="303" spans="1:19">
      <c r="A303" s="2" t="s">
        <v>97</v>
      </c>
      <c r="B303" s="2" t="s">
        <v>20</v>
      </c>
      <c r="C303" s="2" t="s">
        <v>28</v>
      </c>
      <c r="D303" s="2">
        <v>63986.98</v>
      </c>
      <c r="E303" s="2">
        <v>7989</v>
      </c>
      <c r="F303" s="2">
        <v>7.3999999999999996E-2</v>
      </c>
      <c r="G303" s="2">
        <v>20</v>
      </c>
      <c r="H303" s="2">
        <v>83.3</v>
      </c>
      <c r="I303" s="2">
        <v>3.6</v>
      </c>
      <c r="J303" s="2">
        <v>0</v>
      </c>
      <c r="K303" s="2">
        <v>3.9</v>
      </c>
      <c r="L303" s="2">
        <v>724346.73</v>
      </c>
      <c r="M303" s="2">
        <v>155013.91</v>
      </c>
      <c r="N303">
        <f t="shared" si="24"/>
        <v>1</v>
      </c>
      <c r="O303">
        <f t="shared" si="25"/>
        <v>0</v>
      </c>
      <c r="P303">
        <f t="shared" si="26"/>
        <v>0</v>
      </c>
      <c r="Q303">
        <f t="shared" si="27"/>
        <v>0</v>
      </c>
      <c r="R303">
        <f t="shared" si="28"/>
        <v>1</v>
      </c>
      <c r="S303">
        <f t="shared" si="29"/>
        <v>0</v>
      </c>
    </row>
    <row r="304" spans="1:19">
      <c r="A304" s="2" t="s">
        <v>97</v>
      </c>
      <c r="B304" s="2" t="s">
        <v>20</v>
      </c>
      <c r="C304" s="2" t="s">
        <v>28</v>
      </c>
      <c r="D304" s="2">
        <v>52843.75</v>
      </c>
      <c r="E304" s="2">
        <v>8268</v>
      </c>
      <c r="F304" s="2">
        <v>0.13800000000000001</v>
      </c>
      <c r="G304" s="2">
        <v>19</v>
      </c>
      <c r="H304" s="2">
        <v>87.3</v>
      </c>
      <c r="I304" s="2">
        <v>4.3899999999999997</v>
      </c>
      <c r="J304" s="2">
        <v>1</v>
      </c>
      <c r="K304" s="2">
        <v>3.9</v>
      </c>
      <c r="L304" s="2">
        <v>730890.01</v>
      </c>
      <c r="M304" s="2">
        <v>105502.56</v>
      </c>
      <c r="N304">
        <f t="shared" si="24"/>
        <v>1</v>
      </c>
      <c r="O304">
        <f t="shared" si="25"/>
        <v>0</v>
      </c>
      <c r="P304">
        <f t="shared" si="26"/>
        <v>0</v>
      </c>
      <c r="Q304">
        <f t="shared" si="27"/>
        <v>0</v>
      </c>
      <c r="R304">
        <f t="shared" si="28"/>
        <v>1</v>
      </c>
      <c r="S304">
        <f t="shared" si="29"/>
        <v>0</v>
      </c>
    </row>
    <row r="305" spans="1:19">
      <c r="A305" s="2" t="s">
        <v>97</v>
      </c>
      <c r="B305" s="2" t="s">
        <v>20</v>
      </c>
      <c r="C305" s="2" t="s">
        <v>28</v>
      </c>
      <c r="D305" s="2">
        <v>31997.25</v>
      </c>
      <c r="E305" s="2">
        <v>8183</v>
      </c>
      <c r="F305" s="2">
        <v>0.19800000000000001</v>
      </c>
      <c r="G305" s="2">
        <v>18</v>
      </c>
      <c r="H305" s="2">
        <v>93</v>
      </c>
      <c r="I305" s="2">
        <v>2.79</v>
      </c>
      <c r="J305" s="2">
        <v>0</v>
      </c>
      <c r="K305" s="2">
        <v>3.9</v>
      </c>
      <c r="L305" s="2">
        <v>780580.95</v>
      </c>
      <c r="M305" s="2">
        <v>138144.46</v>
      </c>
      <c r="N305">
        <f t="shared" si="24"/>
        <v>1</v>
      </c>
      <c r="O305">
        <f t="shared" si="25"/>
        <v>0</v>
      </c>
      <c r="P305">
        <f t="shared" si="26"/>
        <v>0</v>
      </c>
      <c r="Q305">
        <f t="shared" si="27"/>
        <v>0</v>
      </c>
      <c r="R305">
        <f t="shared" si="28"/>
        <v>1</v>
      </c>
      <c r="S305">
        <f t="shared" si="29"/>
        <v>0</v>
      </c>
    </row>
    <row r="306" spans="1:19">
      <c r="A306" s="2" t="s">
        <v>98</v>
      </c>
      <c r="B306" s="2" t="s">
        <v>24</v>
      </c>
      <c r="C306" s="2" t="s">
        <v>16</v>
      </c>
      <c r="D306" s="2">
        <v>54948.02</v>
      </c>
      <c r="E306" s="2">
        <v>6534</v>
      </c>
      <c r="F306" s="2">
        <v>0.183</v>
      </c>
      <c r="G306" s="2">
        <v>14</v>
      </c>
      <c r="H306" s="2">
        <v>94.5</v>
      </c>
      <c r="I306" s="2">
        <v>1.56</v>
      </c>
      <c r="J306" s="2">
        <v>0</v>
      </c>
      <c r="K306" s="2">
        <v>3.9</v>
      </c>
      <c r="L306" s="2">
        <v>727957.48</v>
      </c>
      <c r="M306" s="2">
        <v>74805.23</v>
      </c>
      <c r="N306">
        <f t="shared" si="24"/>
        <v>0</v>
      </c>
      <c r="O306">
        <f t="shared" si="25"/>
        <v>1</v>
      </c>
      <c r="P306">
        <f t="shared" si="26"/>
        <v>0</v>
      </c>
      <c r="Q306">
        <f t="shared" si="27"/>
        <v>0</v>
      </c>
      <c r="R306">
        <f t="shared" si="28"/>
        <v>0</v>
      </c>
      <c r="S306">
        <f t="shared" si="29"/>
        <v>1</v>
      </c>
    </row>
    <row r="307" spans="1:19">
      <c r="A307" s="2" t="s">
        <v>98</v>
      </c>
      <c r="B307" s="2" t="s">
        <v>24</v>
      </c>
      <c r="C307" s="2" t="s">
        <v>16</v>
      </c>
      <c r="D307" s="2">
        <v>46146.239999999998</v>
      </c>
      <c r="E307" s="2">
        <v>5804</v>
      </c>
      <c r="F307" s="2">
        <v>4.7E-2</v>
      </c>
      <c r="G307" s="2">
        <v>16</v>
      </c>
      <c r="H307" s="2">
        <v>86.9</v>
      </c>
      <c r="I307" s="2">
        <v>15.82</v>
      </c>
      <c r="J307" s="2">
        <v>0</v>
      </c>
      <c r="K307" s="2">
        <v>3.9</v>
      </c>
      <c r="L307" s="2">
        <v>538376</v>
      </c>
      <c r="M307" s="2">
        <v>87605.62</v>
      </c>
      <c r="N307">
        <f t="shared" si="24"/>
        <v>0</v>
      </c>
      <c r="O307">
        <f t="shared" si="25"/>
        <v>1</v>
      </c>
      <c r="P307">
        <f t="shared" si="26"/>
        <v>0</v>
      </c>
      <c r="Q307">
        <f t="shared" si="27"/>
        <v>0</v>
      </c>
      <c r="R307">
        <f t="shared" si="28"/>
        <v>0</v>
      </c>
      <c r="S307">
        <f t="shared" si="29"/>
        <v>1</v>
      </c>
    </row>
    <row r="308" spans="1:19">
      <c r="A308" s="2" t="s">
        <v>98</v>
      </c>
      <c r="B308" s="2" t="s">
        <v>24</v>
      </c>
      <c r="C308" s="2" t="s">
        <v>16</v>
      </c>
      <c r="D308" s="2">
        <v>22387.26</v>
      </c>
      <c r="E308" s="2">
        <v>6301</v>
      </c>
      <c r="F308" s="2">
        <v>0.14599999999999999</v>
      </c>
      <c r="G308" s="2">
        <v>14</v>
      </c>
      <c r="H308" s="2">
        <v>85.9</v>
      </c>
      <c r="I308" s="2">
        <v>1.17</v>
      </c>
      <c r="J308" s="2">
        <v>1</v>
      </c>
      <c r="K308" s="2">
        <v>3.9</v>
      </c>
      <c r="L308" s="2">
        <v>665342.49</v>
      </c>
      <c r="M308" s="2">
        <v>93441.81</v>
      </c>
      <c r="N308">
        <f t="shared" si="24"/>
        <v>0</v>
      </c>
      <c r="O308">
        <f t="shared" si="25"/>
        <v>1</v>
      </c>
      <c r="P308">
        <f t="shared" si="26"/>
        <v>0</v>
      </c>
      <c r="Q308">
        <f t="shared" si="27"/>
        <v>0</v>
      </c>
      <c r="R308">
        <f t="shared" si="28"/>
        <v>0</v>
      </c>
      <c r="S308">
        <f t="shared" si="29"/>
        <v>1</v>
      </c>
    </row>
    <row r="309" spans="1:19">
      <c r="A309" s="2" t="s">
        <v>98</v>
      </c>
      <c r="B309" s="2" t="s">
        <v>24</v>
      </c>
      <c r="C309" s="2" t="s">
        <v>16</v>
      </c>
      <c r="D309" s="2">
        <v>60684.05</v>
      </c>
      <c r="E309" s="2">
        <v>6399</v>
      </c>
      <c r="F309" s="2">
        <v>7.4999999999999997E-2</v>
      </c>
      <c r="G309" s="2">
        <v>16</v>
      </c>
      <c r="H309" s="2">
        <v>99</v>
      </c>
      <c r="I309" s="2">
        <v>3.82</v>
      </c>
      <c r="J309" s="2">
        <v>0</v>
      </c>
      <c r="K309" s="2">
        <v>3.9</v>
      </c>
      <c r="L309" s="2">
        <v>651164.18000000005</v>
      </c>
      <c r="M309" s="2">
        <v>109466.5</v>
      </c>
      <c r="N309">
        <f t="shared" si="24"/>
        <v>0</v>
      </c>
      <c r="O309">
        <f t="shared" si="25"/>
        <v>1</v>
      </c>
      <c r="P309">
        <f t="shared" si="26"/>
        <v>0</v>
      </c>
      <c r="Q309">
        <f t="shared" si="27"/>
        <v>0</v>
      </c>
      <c r="R309">
        <f t="shared" si="28"/>
        <v>0</v>
      </c>
      <c r="S309">
        <f t="shared" si="29"/>
        <v>1</v>
      </c>
    </row>
    <row r="310" spans="1:19">
      <c r="A310" s="2" t="s">
        <v>99</v>
      </c>
      <c r="B310" s="2" t="s">
        <v>24</v>
      </c>
      <c r="C310" s="2" t="s">
        <v>18</v>
      </c>
      <c r="D310" s="2">
        <v>48465.599999999999</v>
      </c>
      <c r="E310" s="2">
        <v>5759</v>
      </c>
      <c r="F310" s="2">
        <v>0.154</v>
      </c>
      <c r="G310" s="2">
        <v>13</v>
      </c>
      <c r="H310" s="2">
        <v>87.5</v>
      </c>
      <c r="I310" s="2">
        <v>4.1399999999999997</v>
      </c>
      <c r="J310" s="2">
        <v>0</v>
      </c>
      <c r="K310" s="2">
        <v>3.9</v>
      </c>
      <c r="L310" s="2">
        <v>628538.30000000005</v>
      </c>
      <c r="M310" s="2">
        <v>112509.15</v>
      </c>
      <c r="N310">
        <f t="shared" si="24"/>
        <v>0</v>
      </c>
      <c r="O310">
        <f t="shared" si="25"/>
        <v>1</v>
      </c>
      <c r="P310">
        <f t="shared" si="26"/>
        <v>0</v>
      </c>
      <c r="Q310">
        <f t="shared" si="27"/>
        <v>0</v>
      </c>
      <c r="R310">
        <f t="shared" si="28"/>
        <v>0</v>
      </c>
      <c r="S310">
        <f t="shared" si="29"/>
        <v>0</v>
      </c>
    </row>
    <row r="311" spans="1:19">
      <c r="A311" s="2" t="s">
        <v>99</v>
      </c>
      <c r="B311" s="2" t="s">
        <v>24</v>
      </c>
      <c r="C311" s="2" t="s">
        <v>18</v>
      </c>
      <c r="D311" s="2">
        <v>23702.38</v>
      </c>
      <c r="E311" s="2">
        <v>5285</v>
      </c>
      <c r="F311" s="2">
        <v>0.16700000000000001</v>
      </c>
      <c r="G311" s="2">
        <v>14</v>
      </c>
      <c r="H311" s="2">
        <v>79.7</v>
      </c>
      <c r="I311" s="2">
        <v>1.1000000000000001</v>
      </c>
      <c r="J311" s="2">
        <v>0</v>
      </c>
      <c r="K311" s="2">
        <v>3.9</v>
      </c>
      <c r="L311" s="2">
        <v>536524.84</v>
      </c>
      <c r="M311" s="2">
        <v>92752.94</v>
      </c>
      <c r="N311">
        <f t="shared" si="24"/>
        <v>0</v>
      </c>
      <c r="O311">
        <f t="shared" si="25"/>
        <v>1</v>
      </c>
      <c r="P311">
        <f t="shared" si="26"/>
        <v>0</v>
      </c>
      <c r="Q311">
        <f t="shared" si="27"/>
        <v>0</v>
      </c>
      <c r="R311">
        <f t="shared" si="28"/>
        <v>0</v>
      </c>
      <c r="S311">
        <f t="shared" si="29"/>
        <v>0</v>
      </c>
    </row>
    <row r="312" spans="1:19">
      <c r="A312" s="2" t="s">
        <v>99</v>
      </c>
      <c r="B312" s="2" t="s">
        <v>24</v>
      </c>
      <c r="C312" s="2" t="s">
        <v>18</v>
      </c>
      <c r="D312" s="2">
        <v>54322.94</v>
      </c>
      <c r="E312" s="2">
        <v>5434</v>
      </c>
      <c r="F312" s="2">
        <v>0.2</v>
      </c>
      <c r="G312" s="2">
        <v>13</v>
      </c>
      <c r="H312" s="2">
        <v>85.7</v>
      </c>
      <c r="I312" s="2">
        <v>10.6</v>
      </c>
      <c r="J312" s="2">
        <v>0</v>
      </c>
      <c r="K312" s="2">
        <v>3.9</v>
      </c>
      <c r="L312" s="2">
        <v>621677.30000000005</v>
      </c>
      <c r="M312" s="2">
        <v>105192.52</v>
      </c>
      <c r="N312">
        <f t="shared" si="24"/>
        <v>0</v>
      </c>
      <c r="O312">
        <f t="shared" si="25"/>
        <v>1</v>
      </c>
      <c r="P312">
        <f t="shared" si="26"/>
        <v>0</v>
      </c>
      <c r="Q312">
        <f t="shared" si="27"/>
        <v>0</v>
      </c>
      <c r="R312">
        <f t="shared" si="28"/>
        <v>0</v>
      </c>
      <c r="S312">
        <f t="shared" si="29"/>
        <v>0</v>
      </c>
    </row>
    <row r="313" spans="1:19">
      <c r="A313" s="2" t="s">
        <v>99</v>
      </c>
      <c r="B313" s="2" t="s">
        <v>24</v>
      </c>
      <c r="C313" s="2" t="s">
        <v>18</v>
      </c>
      <c r="D313" s="2">
        <v>86026.58</v>
      </c>
      <c r="E313" s="2">
        <v>7479</v>
      </c>
      <c r="F313" s="2">
        <v>0.14199999999999999</v>
      </c>
      <c r="G313" s="2">
        <v>20</v>
      </c>
      <c r="H313" s="2">
        <v>89</v>
      </c>
      <c r="I313" s="2">
        <v>0.9</v>
      </c>
      <c r="J313" s="2">
        <v>0</v>
      </c>
      <c r="K313" s="2">
        <v>3.9</v>
      </c>
      <c r="L313" s="2">
        <v>771129.07</v>
      </c>
      <c r="M313" s="2">
        <v>116851.13</v>
      </c>
      <c r="N313">
        <f t="shared" si="24"/>
        <v>0</v>
      </c>
      <c r="O313">
        <f t="shared" si="25"/>
        <v>1</v>
      </c>
      <c r="P313">
        <f t="shared" si="26"/>
        <v>0</v>
      </c>
      <c r="Q313">
        <f t="shared" si="27"/>
        <v>0</v>
      </c>
      <c r="R313">
        <f t="shared" si="28"/>
        <v>0</v>
      </c>
      <c r="S313">
        <f t="shared" si="29"/>
        <v>0</v>
      </c>
    </row>
    <row r="314" spans="1:19">
      <c r="A314" s="2" t="s">
        <v>100</v>
      </c>
      <c r="B314" s="2" t="s">
        <v>20</v>
      </c>
      <c r="C314" s="2" t="s">
        <v>16</v>
      </c>
      <c r="D314" s="2">
        <v>78967.520000000004</v>
      </c>
      <c r="E314" s="2">
        <v>6164</v>
      </c>
      <c r="F314" s="2">
        <v>2.1000000000000001E-2</v>
      </c>
      <c r="G314" s="2">
        <v>16</v>
      </c>
      <c r="H314" s="2">
        <v>85.5</v>
      </c>
      <c r="I314" s="2">
        <v>0.2</v>
      </c>
      <c r="J314" s="2">
        <v>0</v>
      </c>
      <c r="K314" s="2">
        <v>3.9</v>
      </c>
      <c r="L314" s="2">
        <v>702052.47</v>
      </c>
      <c r="M314" s="2">
        <v>121732.51</v>
      </c>
      <c r="N314">
        <f t="shared" si="24"/>
        <v>1</v>
      </c>
      <c r="O314">
        <f t="shared" si="25"/>
        <v>0</v>
      </c>
      <c r="P314">
        <f t="shared" si="26"/>
        <v>0</v>
      </c>
      <c r="Q314">
        <f t="shared" si="27"/>
        <v>0</v>
      </c>
      <c r="R314">
        <f t="shared" si="28"/>
        <v>0</v>
      </c>
      <c r="S314">
        <f t="shared" si="29"/>
        <v>1</v>
      </c>
    </row>
    <row r="315" spans="1:19">
      <c r="A315" s="2" t="s">
        <v>100</v>
      </c>
      <c r="B315" s="2" t="s">
        <v>20</v>
      </c>
      <c r="C315" s="2" t="s">
        <v>16</v>
      </c>
      <c r="D315" s="2">
        <v>46767.99</v>
      </c>
      <c r="E315" s="2">
        <v>7973</v>
      </c>
      <c r="F315" s="2">
        <v>0.183</v>
      </c>
      <c r="G315" s="2">
        <v>18</v>
      </c>
      <c r="H315" s="2">
        <v>94.8</v>
      </c>
      <c r="I315" s="2">
        <v>4.67</v>
      </c>
      <c r="J315" s="2">
        <v>0</v>
      </c>
      <c r="K315" s="2">
        <v>3.9</v>
      </c>
      <c r="L315" s="2">
        <v>688368.46</v>
      </c>
      <c r="M315" s="2">
        <v>93588.42</v>
      </c>
      <c r="N315">
        <f t="shared" si="24"/>
        <v>1</v>
      </c>
      <c r="O315">
        <f t="shared" si="25"/>
        <v>0</v>
      </c>
      <c r="P315">
        <f t="shared" si="26"/>
        <v>0</v>
      </c>
      <c r="Q315">
        <f t="shared" si="27"/>
        <v>0</v>
      </c>
      <c r="R315">
        <f t="shared" si="28"/>
        <v>0</v>
      </c>
      <c r="S315">
        <f t="shared" si="29"/>
        <v>1</v>
      </c>
    </row>
    <row r="316" spans="1:19">
      <c r="A316" s="2" t="s">
        <v>100</v>
      </c>
      <c r="B316" s="2" t="s">
        <v>20</v>
      </c>
      <c r="C316" s="2" t="s">
        <v>16</v>
      </c>
      <c r="D316" s="2">
        <v>62507.16</v>
      </c>
      <c r="E316" s="2">
        <v>6000</v>
      </c>
      <c r="F316" s="2">
        <v>9.0999999999999998E-2</v>
      </c>
      <c r="G316" s="2">
        <v>14</v>
      </c>
      <c r="H316" s="2">
        <v>98.2</v>
      </c>
      <c r="I316" s="2">
        <v>4.38</v>
      </c>
      <c r="J316" s="2">
        <v>1</v>
      </c>
      <c r="K316" s="2">
        <v>3.9</v>
      </c>
      <c r="L316" s="2">
        <v>712375.77</v>
      </c>
      <c r="M316" s="2">
        <v>104171.53</v>
      </c>
      <c r="N316">
        <f t="shared" si="24"/>
        <v>1</v>
      </c>
      <c r="O316">
        <f t="shared" si="25"/>
        <v>0</v>
      </c>
      <c r="P316">
        <f t="shared" si="26"/>
        <v>0</v>
      </c>
      <c r="Q316">
        <f t="shared" si="27"/>
        <v>0</v>
      </c>
      <c r="R316">
        <f t="shared" si="28"/>
        <v>0</v>
      </c>
      <c r="S316">
        <f t="shared" si="29"/>
        <v>1</v>
      </c>
    </row>
    <row r="317" spans="1:19">
      <c r="A317" s="2" t="s">
        <v>100</v>
      </c>
      <c r="B317" s="2" t="s">
        <v>20</v>
      </c>
      <c r="C317" s="2" t="s">
        <v>16</v>
      </c>
      <c r="D317" s="2">
        <v>66456.28</v>
      </c>
      <c r="E317" s="2">
        <v>9967</v>
      </c>
      <c r="F317" s="2">
        <v>0.108</v>
      </c>
      <c r="G317" s="2">
        <v>20</v>
      </c>
      <c r="H317" s="2">
        <v>94.7</v>
      </c>
      <c r="I317" s="2">
        <v>4.4800000000000004</v>
      </c>
      <c r="J317" s="2">
        <v>0</v>
      </c>
      <c r="K317" s="2">
        <v>4.2</v>
      </c>
      <c r="L317" s="2">
        <v>844710.67</v>
      </c>
      <c r="M317" s="2">
        <v>137140.18</v>
      </c>
      <c r="N317">
        <f t="shared" si="24"/>
        <v>1</v>
      </c>
      <c r="O317">
        <f t="shared" si="25"/>
        <v>0</v>
      </c>
      <c r="P317">
        <f t="shared" si="26"/>
        <v>0</v>
      </c>
      <c r="Q317">
        <f t="shared" si="27"/>
        <v>0</v>
      </c>
      <c r="R317">
        <f t="shared" si="28"/>
        <v>0</v>
      </c>
      <c r="S317">
        <f t="shared" si="29"/>
        <v>1</v>
      </c>
    </row>
    <row r="318" spans="1:19">
      <c r="A318" s="2" t="s">
        <v>101</v>
      </c>
      <c r="B318" s="2" t="s">
        <v>15</v>
      </c>
      <c r="C318" s="2" t="s">
        <v>16</v>
      </c>
      <c r="D318" s="2">
        <v>76614.320000000007</v>
      </c>
      <c r="E318" s="2">
        <v>5639</v>
      </c>
      <c r="F318" s="2">
        <v>0.17399999999999999</v>
      </c>
      <c r="G318" s="2">
        <v>15</v>
      </c>
      <c r="H318" s="2">
        <v>92.9</v>
      </c>
      <c r="I318" s="2">
        <v>1.02</v>
      </c>
      <c r="J318" s="2">
        <v>1</v>
      </c>
      <c r="K318" s="2">
        <v>4</v>
      </c>
      <c r="L318" s="2">
        <v>620264.19999999995</v>
      </c>
      <c r="M318" s="2">
        <v>91365.64</v>
      </c>
      <c r="N318">
        <f t="shared" si="24"/>
        <v>0</v>
      </c>
      <c r="O318">
        <f t="shared" si="25"/>
        <v>0</v>
      </c>
      <c r="P318">
        <f t="shared" si="26"/>
        <v>0</v>
      </c>
      <c r="Q318">
        <f t="shared" si="27"/>
        <v>0</v>
      </c>
      <c r="R318">
        <f t="shared" si="28"/>
        <v>0</v>
      </c>
      <c r="S318">
        <f t="shared" si="29"/>
        <v>1</v>
      </c>
    </row>
    <row r="319" spans="1:19">
      <c r="A319" s="2" t="s">
        <v>101</v>
      </c>
      <c r="B319" s="2" t="s">
        <v>15</v>
      </c>
      <c r="C319" s="2" t="s">
        <v>16</v>
      </c>
      <c r="D319" s="2">
        <v>24088.06</v>
      </c>
      <c r="E319" s="2">
        <v>3466</v>
      </c>
      <c r="F319" s="2">
        <v>0</v>
      </c>
      <c r="G319" s="2">
        <v>11</v>
      </c>
      <c r="H319" s="2">
        <v>88</v>
      </c>
      <c r="I319" s="2">
        <v>0.2</v>
      </c>
      <c r="J319" s="2">
        <v>0</v>
      </c>
      <c r="K319" s="2">
        <v>3.8</v>
      </c>
      <c r="L319" s="2">
        <v>536845.42000000004</v>
      </c>
      <c r="M319" s="2">
        <v>107473.75</v>
      </c>
      <c r="N319">
        <f t="shared" si="24"/>
        <v>0</v>
      </c>
      <c r="O319">
        <f t="shared" si="25"/>
        <v>0</v>
      </c>
      <c r="P319">
        <f t="shared" si="26"/>
        <v>0</v>
      </c>
      <c r="Q319">
        <f t="shared" si="27"/>
        <v>0</v>
      </c>
      <c r="R319">
        <f t="shared" si="28"/>
        <v>0</v>
      </c>
      <c r="S319">
        <f t="shared" si="29"/>
        <v>1</v>
      </c>
    </row>
    <row r="320" spans="1:19">
      <c r="A320" s="2" t="s">
        <v>101</v>
      </c>
      <c r="B320" s="2" t="s">
        <v>15</v>
      </c>
      <c r="C320" s="2" t="s">
        <v>16</v>
      </c>
      <c r="D320" s="2">
        <v>81902.58</v>
      </c>
      <c r="E320" s="2">
        <v>7775</v>
      </c>
      <c r="F320" s="2">
        <v>0.215</v>
      </c>
      <c r="G320" s="2">
        <v>20</v>
      </c>
      <c r="H320" s="2">
        <v>85.2</v>
      </c>
      <c r="I320" s="2">
        <v>4.8899999999999997</v>
      </c>
      <c r="J320" s="2">
        <v>1</v>
      </c>
      <c r="K320" s="2">
        <v>4.2</v>
      </c>
      <c r="L320" s="2">
        <v>726776.22</v>
      </c>
      <c r="M320" s="2">
        <v>90804.49</v>
      </c>
      <c r="N320">
        <f t="shared" si="24"/>
        <v>0</v>
      </c>
      <c r="O320">
        <f t="shared" si="25"/>
        <v>0</v>
      </c>
      <c r="P320">
        <f t="shared" si="26"/>
        <v>0</v>
      </c>
      <c r="Q320">
        <f t="shared" si="27"/>
        <v>0</v>
      </c>
      <c r="R320">
        <f t="shared" si="28"/>
        <v>0</v>
      </c>
      <c r="S320">
        <f t="shared" si="29"/>
        <v>1</v>
      </c>
    </row>
    <row r="321" spans="1:19">
      <c r="A321" s="2" t="s">
        <v>101</v>
      </c>
      <c r="B321" s="2" t="s">
        <v>15</v>
      </c>
      <c r="C321" s="2" t="s">
        <v>16</v>
      </c>
      <c r="D321" s="2">
        <v>40553.11</v>
      </c>
      <c r="E321" s="2">
        <v>5317</v>
      </c>
      <c r="F321" s="2">
        <v>0.16500000000000001</v>
      </c>
      <c r="G321" s="2">
        <v>17</v>
      </c>
      <c r="H321" s="2">
        <v>84.3</v>
      </c>
      <c r="I321" s="2">
        <v>11.82</v>
      </c>
      <c r="J321" s="2">
        <v>0</v>
      </c>
      <c r="K321" s="2">
        <v>4.0999999999999996</v>
      </c>
      <c r="L321" s="2">
        <v>559660.84</v>
      </c>
      <c r="M321" s="2">
        <v>71443.61</v>
      </c>
      <c r="N321">
        <f t="shared" si="24"/>
        <v>0</v>
      </c>
      <c r="O321">
        <f t="shared" si="25"/>
        <v>0</v>
      </c>
      <c r="P321">
        <f t="shared" si="26"/>
        <v>0</v>
      </c>
      <c r="Q321">
        <f t="shared" si="27"/>
        <v>0</v>
      </c>
      <c r="R321">
        <f t="shared" si="28"/>
        <v>0</v>
      </c>
      <c r="S321">
        <f t="shared" si="29"/>
        <v>1</v>
      </c>
    </row>
  </sheetData>
  <autoFilter ref="A1:S32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353"/>
  <sheetViews>
    <sheetView workbookViewId="0">
      <selection activeCell="G5" sqref="G5"/>
    </sheetView>
  </sheetViews>
  <sheetFormatPr defaultRowHeight="14"/>
  <cols>
    <col min="1" max="1" width="18.58203125" bestFit="1" customWidth="1"/>
    <col min="2" max="2" width="18.5" customWidth="1"/>
    <col min="3" max="3" width="15.25" customWidth="1"/>
    <col min="5" max="5" width="12.08203125" bestFit="1" customWidth="1"/>
    <col min="6" max="6" width="12.83203125" bestFit="1" customWidth="1"/>
    <col min="7" max="9" width="12.33203125" bestFit="1" customWidth="1"/>
  </cols>
  <sheetData>
    <row r="3" spans="1:6">
      <c r="A3" s="14" t="s">
        <v>124</v>
      </c>
    </row>
    <row r="4" spans="1:6" ht="14.5" thickBot="1"/>
    <row r="5" spans="1:6" ht="14.5">
      <c r="A5" s="9" t="s">
        <v>125</v>
      </c>
      <c r="B5" s="9"/>
    </row>
    <row r="6" spans="1:6">
      <c r="A6" s="6" t="s">
        <v>126</v>
      </c>
      <c r="B6" s="6">
        <v>0.88824029897590118</v>
      </c>
    </row>
    <row r="7" spans="1:6">
      <c r="A7" s="6" t="s">
        <v>127</v>
      </c>
      <c r="B7" s="6">
        <v>0.78897082872479829</v>
      </c>
    </row>
    <row r="8" spans="1:6">
      <c r="A8" s="6" t="s">
        <v>128</v>
      </c>
      <c r="B8" s="6">
        <v>0.78492554109651969</v>
      </c>
    </row>
    <row r="9" spans="1:6">
      <c r="A9" s="6" t="s">
        <v>129</v>
      </c>
      <c r="B9" s="6">
        <v>48125.262088558346</v>
      </c>
    </row>
    <row r="10" spans="1:6" ht="14.5" thickBot="1">
      <c r="A10" s="7" t="s">
        <v>130</v>
      </c>
      <c r="B10" s="7">
        <v>320</v>
      </c>
    </row>
    <row r="12" spans="1:6" ht="14.5" thickBot="1">
      <c r="A12" t="s">
        <v>131</v>
      </c>
    </row>
    <row r="13" spans="1:6" ht="14.5">
      <c r="A13" s="8"/>
      <c r="B13" s="8" t="s">
        <v>136</v>
      </c>
      <c r="C13" s="8" t="s">
        <v>137</v>
      </c>
      <c r="D13" s="8" t="s">
        <v>138</v>
      </c>
      <c r="E13" s="8" t="s">
        <v>139</v>
      </c>
      <c r="F13" s="8" t="s">
        <v>140</v>
      </c>
    </row>
    <row r="14" spans="1:6">
      <c r="A14" s="6" t="s">
        <v>132</v>
      </c>
      <c r="B14" s="6">
        <v>6</v>
      </c>
      <c r="C14" s="6">
        <v>2710247830398.8086</v>
      </c>
      <c r="D14" s="6">
        <v>451707971733.13477</v>
      </c>
      <c r="E14" s="6">
        <v>195.03454419643461</v>
      </c>
      <c r="F14" s="6">
        <v>1.4173496634121677E-102</v>
      </c>
    </row>
    <row r="15" spans="1:6">
      <c r="A15" s="6" t="s">
        <v>133</v>
      </c>
      <c r="B15" s="6">
        <v>313</v>
      </c>
      <c r="C15" s="6">
        <v>724920786391.93091</v>
      </c>
      <c r="D15" s="6">
        <v>2316040851.0924311</v>
      </c>
      <c r="E15" s="6"/>
      <c r="F15" s="6"/>
    </row>
    <row r="16" spans="1:6" ht="14.5" thickBot="1">
      <c r="A16" s="7" t="s">
        <v>134</v>
      </c>
      <c r="B16" s="7">
        <v>319</v>
      </c>
      <c r="C16" s="7">
        <v>3435168616790.7393</v>
      </c>
      <c r="D16" s="7"/>
      <c r="E16" s="7"/>
      <c r="F16" s="7"/>
    </row>
    <row r="17" spans="1:12" ht="14.5" thickBot="1"/>
    <row r="18" spans="1:12" ht="14.5">
      <c r="A18" s="8"/>
      <c r="B18" s="8" t="s">
        <v>141</v>
      </c>
      <c r="C18" s="8" t="s">
        <v>129</v>
      </c>
      <c r="D18" s="8" t="s">
        <v>142</v>
      </c>
      <c r="E18" s="8" t="s">
        <v>143</v>
      </c>
      <c r="F18" s="8" t="s">
        <v>144</v>
      </c>
      <c r="G18" s="8" t="s">
        <v>145</v>
      </c>
      <c r="H18" s="8" t="s">
        <v>146</v>
      </c>
      <c r="I18" s="8" t="s">
        <v>147</v>
      </c>
      <c r="K18" s="10"/>
      <c r="L18" s="10"/>
    </row>
    <row r="19" spans="1:12">
      <c r="A19" s="6" t="s">
        <v>135</v>
      </c>
      <c r="B19" s="6">
        <v>394161.9435236702</v>
      </c>
      <c r="C19" s="6">
        <v>12860.589709715339</v>
      </c>
      <c r="D19" s="6">
        <v>30.648823453710406</v>
      </c>
      <c r="E19" s="6">
        <v>2.9812952339255702E-96</v>
      </c>
      <c r="F19" s="6">
        <v>368857.80705674714</v>
      </c>
      <c r="G19" s="6">
        <v>419466.07999059325</v>
      </c>
      <c r="H19" s="6">
        <v>368857.80705674714</v>
      </c>
      <c r="I19" s="6">
        <v>419466.07999059325</v>
      </c>
      <c r="K19" s="10"/>
      <c r="L19" s="10"/>
    </row>
    <row r="20" spans="1:12">
      <c r="A20" s="6" t="s">
        <v>4</v>
      </c>
      <c r="B20" s="6">
        <v>1.1145028644694275</v>
      </c>
      <c r="C20" s="6">
        <v>0.13953033845976115</v>
      </c>
      <c r="D20" s="6">
        <v>7.9875307174922145</v>
      </c>
      <c r="E20" s="6">
        <v>2.6555905473945446E-14</v>
      </c>
      <c r="F20" s="6">
        <v>0.83996687464661624</v>
      </c>
      <c r="G20" s="6">
        <v>1.3890388542922387</v>
      </c>
      <c r="H20" s="6">
        <v>0.83996687464661624</v>
      </c>
      <c r="I20" s="6">
        <v>1.3890388542922387</v>
      </c>
      <c r="K20" s="10"/>
      <c r="L20" s="10"/>
    </row>
    <row r="21" spans="1:12">
      <c r="A21" s="6" t="s">
        <v>5</v>
      </c>
      <c r="B21" s="6">
        <v>29.346889589092331</v>
      </c>
      <c r="C21" s="6">
        <v>2.7397894140052674</v>
      </c>
      <c r="D21" s="6">
        <v>10.711366880635707</v>
      </c>
      <c r="E21" s="6">
        <v>5.1282697305803156E-23</v>
      </c>
      <c r="F21" s="6">
        <v>23.956156598812136</v>
      </c>
      <c r="G21" s="6">
        <v>34.737622579372527</v>
      </c>
      <c r="H21" s="6">
        <v>23.956156598812136</v>
      </c>
      <c r="I21" s="6">
        <v>34.737622579372527</v>
      </c>
      <c r="K21" s="10"/>
      <c r="L21" s="10"/>
    </row>
    <row r="22" spans="1:12">
      <c r="A22" s="6" t="s">
        <v>6</v>
      </c>
      <c r="B22" s="6">
        <v>-81407.123953241156</v>
      </c>
      <c r="C22" s="6">
        <v>40263.887201017671</v>
      </c>
      <c r="D22" s="6">
        <v>-2.0218396586205314</v>
      </c>
      <c r="E22" s="6">
        <v>4.4043425759140435E-2</v>
      </c>
      <c r="F22" s="6">
        <v>-160629.22180569643</v>
      </c>
      <c r="G22" s="6">
        <v>-2185.0261007858644</v>
      </c>
      <c r="H22" s="6">
        <v>-160629.22180569643</v>
      </c>
      <c r="I22" s="6">
        <v>-2185.0261007858644</v>
      </c>
      <c r="K22" s="10"/>
      <c r="L22" s="10"/>
    </row>
    <row r="23" spans="1:12">
      <c r="A23" s="6" t="s">
        <v>7</v>
      </c>
      <c r="B23" s="6">
        <v>2316.5009357644485</v>
      </c>
      <c r="C23" s="6">
        <v>1384.1019676187059</v>
      </c>
      <c r="D23" s="6">
        <v>1.6736490446219792</v>
      </c>
      <c r="E23" s="6">
        <v>9.5198592233281545E-2</v>
      </c>
      <c r="F23" s="6">
        <v>-406.81936783737501</v>
      </c>
      <c r="G23" s="6">
        <v>5039.8212393662725</v>
      </c>
      <c r="H23" s="6">
        <v>-406.81936783737501</v>
      </c>
      <c r="I23" s="6">
        <v>5039.8212393662725</v>
      </c>
      <c r="K23" s="10"/>
      <c r="L23" s="10"/>
    </row>
    <row r="24" spans="1:12">
      <c r="A24" s="6" t="s">
        <v>118</v>
      </c>
      <c r="B24" s="6">
        <v>3420.474854221809</v>
      </c>
      <c r="C24" s="6">
        <v>6959.0767452534428</v>
      </c>
      <c r="D24" s="6">
        <v>0.49151273644953009</v>
      </c>
      <c r="E24" s="6">
        <v>0.62340833390749939</v>
      </c>
      <c r="F24" s="6">
        <v>-10272.009831193262</v>
      </c>
      <c r="G24" s="6">
        <v>17112.959539636879</v>
      </c>
      <c r="H24" s="6">
        <v>-10272.009831193262</v>
      </c>
      <c r="I24" s="6">
        <v>17112.959539636879</v>
      </c>
      <c r="K24" s="10"/>
      <c r="L24" s="10"/>
    </row>
    <row r="25" spans="1:12" ht="14.5" thickBot="1">
      <c r="A25" s="7" t="s">
        <v>119</v>
      </c>
      <c r="B25" s="7">
        <v>12266.089011944698</v>
      </c>
      <c r="C25" s="7">
        <v>7199.9363074113689</v>
      </c>
      <c r="D25" s="7">
        <v>1.7036385445963464</v>
      </c>
      <c r="E25" s="7">
        <v>8.9441179623623093E-2</v>
      </c>
      <c r="F25" s="7">
        <v>-1900.3042085979123</v>
      </c>
      <c r="G25" s="7">
        <v>26432.482232487309</v>
      </c>
      <c r="H25" s="7">
        <v>-1900.3042085979123</v>
      </c>
      <c r="I25" s="7">
        <v>26432.482232487309</v>
      </c>
      <c r="K25" s="10"/>
      <c r="L25" s="10"/>
    </row>
    <row r="29" spans="1:12">
      <c r="A29" t="s">
        <v>148</v>
      </c>
    </row>
    <row r="30" spans="1:12" ht="14.5" thickBot="1"/>
    <row r="31" spans="1:12" ht="14.5">
      <c r="A31" s="8" t="s">
        <v>149</v>
      </c>
      <c r="B31" s="8" t="s">
        <v>151</v>
      </c>
      <c r="C31" s="8" t="s">
        <v>150</v>
      </c>
    </row>
    <row r="32" spans="1:12">
      <c r="A32" s="6">
        <v>1</v>
      </c>
      <c r="B32" s="6">
        <v>752210.10231672798</v>
      </c>
      <c r="C32" s="6">
        <v>-93377.482316727983</v>
      </c>
    </row>
    <row r="33" spans="1:3">
      <c r="A33" s="6">
        <v>2</v>
      </c>
      <c r="B33" s="6">
        <v>731678.4291133855</v>
      </c>
      <c r="C33" s="6">
        <v>-97242.4291133855</v>
      </c>
    </row>
    <row r="34" spans="1:3">
      <c r="A34" s="6">
        <v>3</v>
      </c>
      <c r="B34" s="6">
        <v>763885.98159759736</v>
      </c>
      <c r="C34" s="6">
        <v>-85163.921597597306</v>
      </c>
    </row>
    <row r="35" spans="1:3">
      <c r="A35" s="6">
        <v>4</v>
      </c>
      <c r="B35" s="6">
        <v>776019.04615870037</v>
      </c>
      <c r="C35" s="6">
        <v>-117098.74615870032</v>
      </c>
    </row>
    <row r="36" spans="1:3">
      <c r="A36" s="6">
        <v>5</v>
      </c>
      <c r="B36" s="6">
        <v>758075.50462593837</v>
      </c>
      <c r="C36" s="6">
        <v>-16734.064625938423</v>
      </c>
    </row>
    <row r="37" spans="1:3">
      <c r="A37" s="6">
        <v>6</v>
      </c>
      <c r="B37" s="6">
        <v>790971.38640731783</v>
      </c>
      <c r="C37" s="6">
        <v>-29136.046407317859</v>
      </c>
    </row>
    <row r="38" spans="1:3">
      <c r="A38" s="6">
        <v>7</v>
      </c>
      <c r="B38" s="6">
        <v>798244.89726801147</v>
      </c>
      <c r="C38" s="6">
        <v>8370.6427319885697</v>
      </c>
    </row>
    <row r="39" spans="1:3">
      <c r="A39" s="6">
        <v>8</v>
      </c>
      <c r="B39" s="6">
        <v>764469.28416329692</v>
      </c>
      <c r="C39" s="6">
        <v>85694.975836703088</v>
      </c>
    </row>
    <row r="40" spans="1:3">
      <c r="A40" s="6">
        <v>9</v>
      </c>
      <c r="B40" s="6">
        <v>842573.02710668382</v>
      </c>
      <c r="C40" s="6">
        <v>88008.672893316136</v>
      </c>
    </row>
    <row r="41" spans="1:3">
      <c r="A41" s="6">
        <v>10</v>
      </c>
      <c r="B41" s="6">
        <v>781846.51342861261</v>
      </c>
      <c r="C41" s="6">
        <v>-2835.5734286126681</v>
      </c>
    </row>
    <row r="42" spans="1:3">
      <c r="A42" s="6">
        <v>11</v>
      </c>
      <c r="B42" s="6">
        <v>738586.35762776015</v>
      </c>
      <c r="C42" s="6">
        <v>-15525.597627760144</v>
      </c>
    </row>
    <row r="43" spans="1:3">
      <c r="A43" s="6">
        <v>12</v>
      </c>
      <c r="B43" s="6">
        <v>867610.97140318493</v>
      </c>
      <c r="C43" s="6">
        <v>43180.968596815015</v>
      </c>
    </row>
    <row r="44" spans="1:3">
      <c r="A44" s="6">
        <v>13</v>
      </c>
      <c r="B44" s="6">
        <v>909173.06123853696</v>
      </c>
      <c r="C44" s="6">
        <v>12995.538761463016</v>
      </c>
    </row>
    <row r="45" spans="1:3">
      <c r="A45" s="6">
        <v>14</v>
      </c>
      <c r="B45" s="6">
        <v>795022.70930270548</v>
      </c>
      <c r="C45" s="6">
        <v>-68416.429302705452</v>
      </c>
    </row>
    <row r="46" spans="1:3">
      <c r="A46" s="6">
        <v>15</v>
      </c>
      <c r="B46" s="6">
        <v>756690.54418384947</v>
      </c>
      <c r="C46" s="6">
        <v>-10189.454183849506</v>
      </c>
    </row>
    <row r="47" spans="1:3">
      <c r="A47" s="6">
        <v>16</v>
      </c>
      <c r="B47" s="6">
        <v>858885.92672040057</v>
      </c>
      <c r="C47" s="6">
        <v>-24868.906720400555</v>
      </c>
    </row>
    <row r="48" spans="1:3">
      <c r="A48" s="6">
        <v>17</v>
      </c>
      <c r="B48" s="6">
        <v>702261.95377073612</v>
      </c>
      <c r="C48" s="6">
        <v>-36109.433770736097</v>
      </c>
    </row>
    <row r="49" spans="1:3">
      <c r="A49" s="6">
        <v>18</v>
      </c>
      <c r="B49" s="6">
        <v>608581.95241677715</v>
      </c>
      <c r="C49" s="6">
        <v>-35426.762416777201</v>
      </c>
    </row>
    <row r="50" spans="1:3">
      <c r="A50" s="6">
        <v>19</v>
      </c>
      <c r="B50" s="6">
        <v>691556.13016580814</v>
      </c>
      <c r="C50" s="6">
        <v>-24982.930165808182</v>
      </c>
    </row>
    <row r="51" spans="1:3">
      <c r="A51" s="6">
        <v>20</v>
      </c>
      <c r="B51" s="6">
        <v>619589.48946830968</v>
      </c>
      <c r="C51" s="6">
        <v>-27969.539468309726</v>
      </c>
    </row>
    <row r="52" spans="1:3">
      <c r="A52" s="6">
        <v>21</v>
      </c>
      <c r="B52" s="6">
        <v>516274.96460162784</v>
      </c>
      <c r="C52" s="6">
        <v>-100553.14460162784</v>
      </c>
    </row>
    <row r="53" spans="1:3">
      <c r="A53" s="6">
        <v>22</v>
      </c>
      <c r="B53" s="6">
        <v>501388.41264050896</v>
      </c>
      <c r="C53" s="6">
        <v>-9483.2826405089581</v>
      </c>
    </row>
    <row r="54" spans="1:3">
      <c r="A54" s="6">
        <v>23</v>
      </c>
      <c r="B54" s="6">
        <v>560501.83222660702</v>
      </c>
      <c r="C54" s="6">
        <v>-4572.4322266069939</v>
      </c>
    </row>
    <row r="55" spans="1:3">
      <c r="A55" s="6">
        <v>24</v>
      </c>
      <c r="B55" s="6">
        <v>553646.44033466792</v>
      </c>
      <c r="C55" s="6">
        <v>12164.549665332073</v>
      </c>
    </row>
    <row r="56" spans="1:3">
      <c r="A56" s="6">
        <v>25</v>
      </c>
      <c r="B56" s="6">
        <v>806393.84901618911</v>
      </c>
      <c r="C56" s="6">
        <v>5377.2909838109044</v>
      </c>
    </row>
    <row r="57" spans="1:3">
      <c r="A57" s="6">
        <v>26</v>
      </c>
      <c r="B57" s="6">
        <v>887865.24103784747</v>
      </c>
      <c r="C57" s="6">
        <v>-87413.30103784753</v>
      </c>
    </row>
    <row r="58" spans="1:3">
      <c r="A58" s="6">
        <v>27</v>
      </c>
      <c r="B58" s="6">
        <v>768649.09048126463</v>
      </c>
      <c r="C58" s="6">
        <v>15023.729518735316</v>
      </c>
    </row>
    <row r="59" spans="1:3">
      <c r="A59" s="6">
        <v>28</v>
      </c>
      <c r="B59" s="6">
        <v>692018.00282641221</v>
      </c>
      <c r="C59" s="6">
        <v>9623.9671735877637</v>
      </c>
    </row>
    <row r="60" spans="1:3">
      <c r="A60" s="6">
        <v>29</v>
      </c>
      <c r="B60" s="6">
        <v>603039.95362255606</v>
      </c>
      <c r="C60" s="6">
        <v>-91195.543622556084</v>
      </c>
    </row>
    <row r="61" spans="1:3">
      <c r="A61" s="6">
        <v>30</v>
      </c>
      <c r="B61" s="6">
        <v>537976.22584239242</v>
      </c>
      <c r="C61" s="6">
        <v>-592.43584239238407</v>
      </c>
    </row>
    <row r="62" spans="1:3">
      <c r="A62" s="6">
        <v>31</v>
      </c>
      <c r="B62" s="6">
        <v>531207.5321095048</v>
      </c>
      <c r="C62" s="6">
        <v>-31034.51210950478</v>
      </c>
    </row>
    <row r="63" spans="1:3">
      <c r="A63" s="6">
        <v>32</v>
      </c>
      <c r="B63" s="6">
        <v>498374.4032311567</v>
      </c>
      <c r="C63" s="6">
        <v>-70457.023231156694</v>
      </c>
    </row>
    <row r="64" spans="1:3">
      <c r="A64" s="6">
        <v>33</v>
      </c>
      <c r="B64" s="6">
        <v>768485.65859010257</v>
      </c>
      <c r="C64" s="6">
        <v>-126620.62859010254</v>
      </c>
    </row>
    <row r="65" spans="1:3">
      <c r="A65" s="6">
        <v>34</v>
      </c>
      <c r="B65" s="6">
        <v>875227.32185209193</v>
      </c>
      <c r="C65" s="6">
        <v>-75749.561852091923</v>
      </c>
    </row>
    <row r="66" spans="1:3">
      <c r="A66" s="6">
        <v>35</v>
      </c>
      <c r="B66" s="6">
        <v>807920.30420991557</v>
      </c>
      <c r="C66" s="6">
        <v>-8968.1342099155299</v>
      </c>
    </row>
    <row r="67" spans="1:3">
      <c r="A67" s="6">
        <v>36</v>
      </c>
      <c r="B67" s="6">
        <v>800643.73103348934</v>
      </c>
      <c r="C67" s="6">
        <v>336.04896651068702</v>
      </c>
    </row>
    <row r="68" spans="1:3">
      <c r="A68" s="6">
        <v>37</v>
      </c>
      <c r="B68" s="6">
        <v>781995.77853688668</v>
      </c>
      <c r="C68" s="6">
        <v>38598.151463113376</v>
      </c>
    </row>
    <row r="69" spans="1:3">
      <c r="A69" s="6">
        <v>38</v>
      </c>
      <c r="B69" s="6">
        <v>736507.84118995245</v>
      </c>
      <c r="C69" s="6">
        <v>-18177.311189952423</v>
      </c>
    </row>
    <row r="70" spans="1:3">
      <c r="A70" s="6">
        <v>39</v>
      </c>
      <c r="B70" s="6">
        <v>751472.18644515541</v>
      </c>
      <c r="C70" s="6">
        <v>-14838.786445155391</v>
      </c>
    </row>
    <row r="71" spans="1:3">
      <c r="A71" s="6">
        <v>40</v>
      </c>
      <c r="B71" s="6">
        <v>800386.55355675216</v>
      </c>
      <c r="C71" s="6">
        <v>28237.296443247818</v>
      </c>
    </row>
    <row r="72" spans="1:3">
      <c r="A72" s="6">
        <v>41</v>
      </c>
      <c r="B72" s="6">
        <v>554402.37922620494</v>
      </c>
      <c r="C72" s="6">
        <v>37793.470773795038</v>
      </c>
    </row>
    <row r="73" spans="1:3">
      <c r="A73" s="6">
        <v>42</v>
      </c>
      <c r="B73" s="6">
        <v>551793.34324044629</v>
      </c>
      <c r="C73" s="6">
        <v>-19148.883240446332</v>
      </c>
    </row>
    <row r="74" spans="1:3">
      <c r="A74" s="6">
        <v>43</v>
      </c>
      <c r="B74" s="6">
        <v>590651.00711373985</v>
      </c>
      <c r="C74" s="6">
        <v>66778.172886260203</v>
      </c>
    </row>
    <row r="75" spans="1:3">
      <c r="A75" s="6">
        <v>44</v>
      </c>
      <c r="B75" s="6">
        <v>601922.4230998772</v>
      </c>
      <c r="C75" s="6">
        <v>3255.5769001228036</v>
      </c>
    </row>
    <row r="76" spans="1:3">
      <c r="A76" s="6">
        <v>45</v>
      </c>
      <c r="B76" s="6">
        <v>734402.6425727146</v>
      </c>
      <c r="C76" s="6">
        <v>-138935.04257271462</v>
      </c>
    </row>
    <row r="77" spans="1:3">
      <c r="A77" s="6">
        <v>46</v>
      </c>
      <c r="B77" s="6">
        <v>609265.46137450379</v>
      </c>
      <c r="C77" s="6">
        <v>-9662.0613745037699</v>
      </c>
    </row>
    <row r="78" spans="1:3">
      <c r="A78" s="6">
        <v>47</v>
      </c>
      <c r="B78" s="6">
        <v>577853.80808077555</v>
      </c>
      <c r="C78" s="6">
        <v>36946.281919224421</v>
      </c>
    </row>
    <row r="79" spans="1:3">
      <c r="A79" s="6">
        <v>48</v>
      </c>
      <c r="B79" s="6">
        <v>582764.28678986442</v>
      </c>
      <c r="C79" s="6">
        <v>2601.4432101355633</v>
      </c>
    </row>
    <row r="80" spans="1:3">
      <c r="A80" s="6">
        <v>49</v>
      </c>
      <c r="B80" s="6">
        <v>615939.71390129067</v>
      </c>
      <c r="C80" s="6">
        <v>6872.0260987093206</v>
      </c>
    </row>
    <row r="81" spans="1:3">
      <c r="A81" s="6">
        <v>50</v>
      </c>
      <c r="B81" s="6">
        <v>630808.29828115797</v>
      </c>
      <c r="C81" s="6">
        <v>-27510.728281158023</v>
      </c>
    </row>
    <row r="82" spans="1:3">
      <c r="A82" s="6">
        <v>51</v>
      </c>
      <c r="B82" s="6">
        <v>629682.60114333511</v>
      </c>
      <c r="C82" s="6">
        <v>-4009.7411433351226</v>
      </c>
    </row>
    <row r="83" spans="1:3">
      <c r="A83" s="6">
        <v>52</v>
      </c>
      <c r="B83" s="6">
        <v>721291.32640637015</v>
      </c>
      <c r="C83" s="6">
        <v>52523.813593629864</v>
      </c>
    </row>
    <row r="84" spans="1:3">
      <c r="A84" s="6">
        <v>53</v>
      </c>
      <c r="B84" s="6">
        <v>563242.36515541642</v>
      </c>
      <c r="C84" s="6">
        <v>-99708.115155416424</v>
      </c>
    </row>
    <row r="85" spans="1:3">
      <c r="A85" s="6">
        <v>54</v>
      </c>
      <c r="B85" s="6">
        <v>689339.29939065804</v>
      </c>
      <c r="C85" s="6">
        <v>57338.450609341962</v>
      </c>
    </row>
    <row r="86" spans="1:3">
      <c r="A86" s="6">
        <v>55</v>
      </c>
      <c r="B86" s="6">
        <v>670333.86179078964</v>
      </c>
      <c r="C86" s="6">
        <v>50518.638209210359</v>
      </c>
    </row>
    <row r="87" spans="1:3">
      <c r="A87" s="6">
        <v>56</v>
      </c>
      <c r="B87" s="6">
        <v>532776.79502280464</v>
      </c>
      <c r="C87" s="6">
        <v>-45311.885022804665</v>
      </c>
    </row>
    <row r="88" spans="1:3">
      <c r="A88" s="6">
        <v>57</v>
      </c>
      <c r="B88" s="6">
        <v>513329.2730363275</v>
      </c>
      <c r="C88" s="6">
        <v>4719.9869636725052</v>
      </c>
    </row>
    <row r="89" spans="1:3">
      <c r="A89" s="6">
        <v>58</v>
      </c>
      <c r="B89" s="6">
        <v>558800.30476098857</v>
      </c>
      <c r="C89" s="6">
        <v>-58501.824760988588</v>
      </c>
    </row>
    <row r="90" spans="1:3">
      <c r="A90" s="6">
        <v>59</v>
      </c>
      <c r="B90" s="6">
        <v>659049.93833824899</v>
      </c>
      <c r="C90" s="6">
        <v>-41758.788338248967</v>
      </c>
    </row>
    <row r="91" spans="1:3">
      <c r="A91" s="6">
        <v>60</v>
      </c>
      <c r="B91" s="6">
        <v>606570.12637186039</v>
      </c>
      <c r="C91" s="6">
        <v>-52813.696371860337</v>
      </c>
    </row>
    <row r="92" spans="1:3">
      <c r="A92" s="6">
        <v>61</v>
      </c>
      <c r="B92" s="6">
        <v>677644.56026408763</v>
      </c>
      <c r="C92" s="6">
        <v>71915.149735912331</v>
      </c>
    </row>
    <row r="93" spans="1:3">
      <c r="A93" s="6">
        <v>62</v>
      </c>
      <c r="B93" s="6">
        <v>585030.35926897184</v>
      </c>
      <c r="C93" s="6">
        <v>30936.120731028146</v>
      </c>
    </row>
    <row r="94" spans="1:3">
      <c r="A94" s="6">
        <v>63</v>
      </c>
      <c r="B94" s="6">
        <v>587023.95588236733</v>
      </c>
      <c r="C94" s="6">
        <v>-15012.755882367375</v>
      </c>
    </row>
    <row r="95" spans="1:3">
      <c r="A95" s="6">
        <v>64</v>
      </c>
      <c r="B95" s="6">
        <v>719225.94434971444</v>
      </c>
      <c r="C95" s="6">
        <v>42634.245650285506</v>
      </c>
    </row>
    <row r="96" spans="1:3">
      <c r="A96" s="6">
        <v>65</v>
      </c>
      <c r="B96" s="6">
        <v>786048.74088650453</v>
      </c>
      <c r="C96" s="6">
        <v>-1546.0608865044778</v>
      </c>
    </row>
    <row r="97" spans="1:3">
      <c r="A97" s="6">
        <v>66</v>
      </c>
      <c r="B97" s="6">
        <v>713179.1138869765</v>
      </c>
      <c r="C97" s="6">
        <v>3962.4361130235484</v>
      </c>
    </row>
    <row r="98" spans="1:3">
      <c r="A98" s="6">
        <v>67</v>
      </c>
      <c r="B98" s="6">
        <v>803171.74429398717</v>
      </c>
      <c r="C98" s="6">
        <v>-117792.66429398721</v>
      </c>
    </row>
    <row r="99" spans="1:3">
      <c r="A99" s="6">
        <v>68</v>
      </c>
      <c r="B99" s="6">
        <v>714472.0633685753</v>
      </c>
      <c r="C99" s="6">
        <v>26024.586631424725</v>
      </c>
    </row>
    <row r="100" spans="1:3">
      <c r="A100" s="6">
        <v>69</v>
      </c>
      <c r="B100" s="6">
        <v>592726.87459001422</v>
      </c>
      <c r="C100" s="6">
        <v>69200.26540998579</v>
      </c>
    </row>
    <row r="101" spans="1:3">
      <c r="A101" s="6">
        <v>70</v>
      </c>
      <c r="B101" s="6">
        <v>528292.47371349973</v>
      </c>
      <c r="C101" s="6">
        <v>-49241.973713499727</v>
      </c>
    </row>
    <row r="102" spans="1:3">
      <c r="A102" s="6">
        <v>71</v>
      </c>
      <c r="B102" s="6">
        <v>555552.33200933121</v>
      </c>
      <c r="C102" s="6">
        <v>49471.537990668789</v>
      </c>
    </row>
    <row r="103" spans="1:3">
      <c r="A103" s="6">
        <v>72</v>
      </c>
      <c r="B103" s="6">
        <v>641385.09828499716</v>
      </c>
      <c r="C103" s="6">
        <v>33388.991715002805</v>
      </c>
    </row>
    <row r="104" spans="1:3">
      <c r="A104" s="6">
        <v>73</v>
      </c>
      <c r="B104" s="6">
        <v>626893.23445447837</v>
      </c>
      <c r="C104" s="6">
        <v>-10823.824454478337</v>
      </c>
    </row>
    <row r="105" spans="1:3">
      <c r="A105" s="6">
        <v>74</v>
      </c>
      <c r="B105" s="6">
        <v>692896.65335172031</v>
      </c>
      <c r="C105" s="6">
        <v>-62066.713351720362</v>
      </c>
    </row>
    <row r="106" spans="1:3">
      <c r="A106" s="6">
        <v>75</v>
      </c>
      <c r="B106" s="6">
        <v>703912.98295622237</v>
      </c>
      <c r="C106" s="6">
        <v>84174.697043777676</v>
      </c>
    </row>
    <row r="107" spans="1:3">
      <c r="A107" s="6">
        <v>76</v>
      </c>
      <c r="B107" s="6">
        <v>731613.47988716012</v>
      </c>
      <c r="C107" s="6">
        <v>-50773.119887160137</v>
      </c>
    </row>
    <row r="108" spans="1:3">
      <c r="A108" s="6">
        <v>77</v>
      </c>
      <c r="B108" s="6">
        <v>692040.58492722292</v>
      </c>
      <c r="C108" s="6">
        <v>-48383.114927222952</v>
      </c>
    </row>
    <row r="109" spans="1:3">
      <c r="A109" s="6">
        <v>78</v>
      </c>
      <c r="B109" s="6">
        <v>665138.05863346474</v>
      </c>
      <c r="C109" s="6">
        <v>25974.541366535239</v>
      </c>
    </row>
    <row r="110" spans="1:3">
      <c r="A110" s="6">
        <v>79</v>
      </c>
      <c r="B110" s="6">
        <v>738498.76993311441</v>
      </c>
      <c r="C110" s="6">
        <v>38423.400066885632</v>
      </c>
    </row>
    <row r="111" spans="1:3">
      <c r="A111" s="6">
        <v>80</v>
      </c>
      <c r="B111" s="6">
        <v>680593.88078366697</v>
      </c>
      <c r="C111" s="6">
        <v>-44032.540783667006</v>
      </c>
    </row>
    <row r="112" spans="1:3">
      <c r="A112" s="6">
        <v>81</v>
      </c>
      <c r="B112" s="6">
        <v>640956.31508628814</v>
      </c>
      <c r="C112" s="6">
        <v>-19586.735086288187</v>
      </c>
    </row>
    <row r="113" spans="1:3">
      <c r="A113" s="6">
        <v>82</v>
      </c>
      <c r="B113" s="6">
        <v>607786.78484494775</v>
      </c>
      <c r="C113" s="6">
        <v>74421.225155052263</v>
      </c>
    </row>
    <row r="114" spans="1:3">
      <c r="A114" s="6">
        <v>83</v>
      </c>
      <c r="B114" s="6">
        <v>639417.2782659363</v>
      </c>
      <c r="C114" s="6">
        <v>87824.581734063686</v>
      </c>
    </row>
    <row r="115" spans="1:3">
      <c r="A115" s="6">
        <v>84</v>
      </c>
      <c r="B115" s="6">
        <v>555349.60061732435</v>
      </c>
      <c r="C115" s="6">
        <v>13751.179382675677</v>
      </c>
    </row>
    <row r="116" spans="1:3">
      <c r="A116" s="6">
        <v>85</v>
      </c>
      <c r="B116" s="6">
        <v>554026.92365950346</v>
      </c>
      <c r="C116" s="6">
        <v>20409.366340496577</v>
      </c>
    </row>
    <row r="117" spans="1:3">
      <c r="A117" s="6">
        <v>86</v>
      </c>
      <c r="B117" s="6">
        <v>618949.36720691225</v>
      </c>
      <c r="C117" s="6">
        <v>-7182.6472069122829</v>
      </c>
    </row>
    <row r="118" spans="1:3">
      <c r="A118" s="6">
        <v>87</v>
      </c>
      <c r="B118" s="6">
        <v>613196.13905523403</v>
      </c>
      <c r="C118" s="6">
        <v>1400.180944765918</v>
      </c>
    </row>
    <row r="119" spans="1:3">
      <c r="A119" s="6">
        <v>88</v>
      </c>
      <c r="B119" s="6">
        <v>461354.95290896442</v>
      </c>
      <c r="C119" s="6">
        <v>-10643.032908964437</v>
      </c>
    </row>
    <row r="120" spans="1:3">
      <c r="A120" s="6">
        <v>89</v>
      </c>
      <c r="B120" s="6">
        <v>708199.18409561017</v>
      </c>
      <c r="C120" s="6">
        <v>3014.2759043897968</v>
      </c>
    </row>
    <row r="121" spans="1:3">
      <c r="A121" s="6">
        <v>90</v>
      </c>
      <c r="B121" s="6">
        <v>749388.0135773283</v>
      </c>
      <c r="C121" s="6">
        <v>-122216.11357732827</v>
      </c>
    </row>
    <row r="122" spans="1:3">
      <c r="A122" s="6">
        <v>91</v>
      </c>
      <c r="B122" s="6">
        <v>709800.16731928149</v>
      </c>
      <c r="C122" s="6">
        <v>30052.412680718466</v>
      </c>
    </row>
    <row r="123" spans="1:3">
      <c r="A123" s="6">
        <v>92</v>
      </c>
      <c r="B123" s="6">
        <v>571802.73415622336</v>
      </c>
      <c r="C123" s="6">
        <v>14504.485843776609</v>
      </c>
    </row>
    <row r="124" spans="1:3">
      <c r="A124" s="6">
        <v>93</v>
      </c>
      <c r="B124" s="6">
        <v>586553.47590826673</v>
      </c>
      <c r="C124" s="6">
        <v>-615.9959082667483</v>
      </c>
    </row>
    <row r="125" spans="1:3">
      <c r="A125" s="6">
        <v>94</v>
      </c>
      <c r="B125" s="6">
        <v>696467.05539226555</v>
      </c>
      <c r="C125" s="6">
        <v>57006.494607734494</v>
      </c>
    </row>
    <row r="126" spans="1:3">
      <c r="A126" s="6">
        <v>95</v>
      </c>
      <c r="B126" s="6">
        <v>757811.88222097815</v>
      </c>
      <c r="C126" s="6">
        <v>80438.437779021799</v>
      </c>
    </row>
    <row r="127" spans="1:3">
      <c r="A127" s="6">
        <v>96</v>
      </c>
      <c r="B127" s="6">
        <v>611265.83536544279</v>
      </c>
      <c r="C127" s="6">
        <v>-3367.7153654427966</v>
      </c>
    </row>
    <row r="128" spans="1:3">
      <c r="A128" s="6">
        <v>97</v>
      </c>
      <c r="B128" s="6">
        <v>680681.97925741842</v>
      </c>
      <c r="C128" s="6">
        <v>10431.640742581571</v>
      </c>
    </row>
    <row r="129" spans="1:3">
      <c r="A129" s="6">
        <v>98</v>
      </c>
      <c r="B129" s="6">
        <v>649359.04486445163</v>
      </c>
      <c r="C129" s="6">
        <v>86150.355135548394</v>
      </c>
    </row>
    <row r="130" spans="1:3">
      <c r="A130" s="6">
        <v>99</v>
      </c>
      <c r="B130" s="6">
        <v>604276.57361365773</v>
      </c>
      <c r="C130" s="6">
        <v>1498.7563863422256</v>
      </c>
    </row>
    <row r="131" spans="1:3">
      <c r="A131" s="6">
        <v>100</v>
      </c>
      <c r="B131" s="6">
        <v>620648.76509532938</v>
      </c>
      <c r="C131" s="6">
        <v>54528.914904670673</v>
      </c>
    </row>
    <row r="132" spans="1:3">
      <c r="A132" s="6">
        <v>101</v>
      </c>
      <c r="B132" s="6">
        <v>575793.37512300373</v>
      </c>
      <c r="C132" s="6">
        <v>59387.974876996246</v>
      </c>
    </row>
    <row r="133" spans="1:3">
      <c r="A133" s="6">
        <v>102</v>
      </c>
      <c r="B133" s="6">
        <v>611170.3751611379</v>
      </c>
      <c r="C133" s="6">
        <v>-24543.435161137953</v>
      </c>
    </row>
    <row r="134" spans="1:3">
      <c r="A134" s="6">
        <v>103</v>
      </c>
      <c r="B134" s="6">
        <v>712429.91020971141</v>
      </c>
      <c r="C134" s="6">
        <v>27672.729790288606</v>
      </c>
    </row>
    <row r="135" spans="1:3">
      <c r="A135" s="6">
        <v>104</v>
      </c>
      <c r="B135" s="6">
        <v>510669.53433263476</v>
      </c>
      <c r="C135" s="6">
        <v>114844.50566736527</v>
      </c>
    </row>
    <row r="136" spans="1:3">
      <c r="A136" s="6">
        <v>105</v>
      </c>
      <c r="B136" s="6">
        <v>715378.46265991195</v>
      </c>
      <c r="C136" s="6">
        <v>11848.737340088002</v>
      </c>
    </row>
    <row r="137" spans="1:3">
      <c r="A137" s="6">
        <v>106</v>
      </c>
      <c r="B137" s="6">
        <v>777942.48184413486</v>
      </c>
      <c r="C137" s="6">
        <v>5855.4081558651524</v>
      </c>
    </row>
    <row r="138" spans="1:3">
      <c r="A138" s="6">
        <v>107</v>
      </c>
      <c r="B138" s="6">
        <v>692615.36464938114</v>
      </c>
      <c r="C138" s="6">
        <v>102538.47535061883</v>
      </c>
    </row>
    <row r="139" spans="1:3">
      <c r="A139" s="6">
        <v>108</v>
      </c>
      <c r="B139" s="6">
        <v>667922.46990214672</v>
      </c>
      <c r="C139" s="6">
        <v>-2327.5299021467799</v>
      </c>
    </row>
    <row r="140" spans="1:3">
      <c r="A140" s="6">
        <v>109</v>
      </c>
      <c r="B140" s="6">
        <v>716288.67904656811</v>
      </c>
      <c r="C140" s="6">
        <v>-6810.2890465680975</v>
      </c>
    </row>
    <row r="141" spans="1:3">
      <c r="A141" s="6">
        <v>110</v>
      </c>
      <c r="B141" s="6">
        <v>639067.57848483825</v>
      </c>
      <c r="C141" s="6">
        <v>25094.911515161744</v>
      </c>
    </row>
    <row r="142" spans="1:3">
      <c r="A142" s="6">
        <v>111</v>
      </c>
      <c r="B142" s="6">
        <v>640799.86128412921</v>
      </c>
      <c r="C142" s="6">
        <v>-7305.6512841292424</v>
      </c>
    </row>
    <row r="143" spans="1:3">
      <c r="A143" s="6">
        <v>112</v>
      </c>
      <c r="B143" s="6">
        <v>595355.11435669765</v>
      </c>
      <c r="C143" s="6">
        <v>118256.04564330238</v>
      </c>
    </row>
    <row r="144" spans="1:3">
      <c r="A144" s="6">
        <v>113</v>
      </c>
      <c r="B144" s="6">
        <v>762625.24125539279</v>
      </c>
      <c r="C144" s="6">
        <v>15772.728744607186</v>
      </c>
    </row>
    <row r="145" spans="1:3">
      <c r="A145" s="6">
        <v>114</v>
      </c>
      <c r="B145" s="6">
        <v>801394.54841269972</v>
      </c>
      <c r="C145" s="6">
        <v>71985.471587300301</v>
      </c>
    </row>
    <row r="146" spans="1:3">
      <c r="A146" s="6">
        <v>115</v>
      </c>
      <c r="B146" s="6">
        <v>742675.85816807463</v>
      </c>
      <c r="C146" s="6">
        <v>-45387.958168074605</v>
      </c>
    </row>
    <row r="147" spans="1:3">
      <c r="A147" s="6">
        <v>116</v>
      </c>
      <c r="B147" s="6">
        <v>736521.78790537408</v>
      </c>
      <c r="C147" s="6">
        <v>-18446.997905374039</v>
      </c>
    </row>
    <row r="148" spans="1:3">
      <c r="A148" s="6">
        <v>117</v>
      </c>
      <c r="B148" s="6">
        <v>696284.3430215891</v>
      </c>
      <c r="C148" s="6">
        <v>18658.086978410953</v>
      </c>
    </row>
    <row r="149" spans="1:3">
      <c r="A149" s="6">
        <v>118</v>
      </c>
      <c r="B149" s="6">
        <v>737322.54783165513</v>
      </c>
      <c r="C149" s="6">
        <v>83196.492168344907</v>
      </c>
    </row>
    <row r="150" spans="1:3">
      <c r="A150" s="6">
        <v>119</v>
      </c>
      <c r="B150" s="6">
        <v>722104.6998768202</v>
      </c>
      <c r="C150" s="6">
        <v>-37887.379876820254</v>
      </c>
    </row>
    <row r="151" spans="1:3">
      <c r="A151" s="6">
        <v>120</v>
      </c>
      <c r="B151" s="6">
        <v>709927.38324135123</v>
      </c>
      <c r="C151" s="6">
        <v>25552.806758648716</v>
      </c>
    </row>
    <row r="152" spans="1:3">
      <c r="A152" s="6">
        <v>121</v>
      </c>
      <c r="B152" s="6">
        <v>582529.03184583969</v>
      </c>
      <c r="C152" s="6">
        <v>-73044.221845839696</v>
      </c>
    </row>
    <row r="153" spans="1:3">
      <c r="A153" s="6">
        <v>122</v>
      </c>
      <c r="B153" s="6">
        <v>630973.80696318753</v>
      </c>
      <c r="C153" s="6">
        <v>23343.283036812441</v>
      </c>
    </row>
    <row r="154" spans="1:3">
      <c r="A154" s="6">
        <v>123</v>
      </c>
      <c r="B154" s="6">
        <v>610451.75902837527</v>
      </c>
      <c r="C154" s="6">
        <v>-52964.499028375256</v>
      </c>
    </row>
    <row r="155" spans="1:3">
      <c r="A155" s="6">
        <v>124</v>
      </c>
      <c r="B155" s="6">
        <v>480344.963585202</v>
      </c>
      <c r="C155" s="6">
        <v>-39069.543585202016</v>
      </c>
    </row>
    <row r="156" spans="1:3">
      <c r="A156" s="6">
        <v>125</v>
      </c>
      <c r="B156" s="6">
        <v>828005.59867959586</v>
      </c>
      <c r="C156" s="6">
        <v>86538.571320404182</v>
      </c>
    </row>
    <row r="157" spans="1:3">
      <c r="A157" s="6">
        <v>126</v>
      </c>
      <c r="B157" s="6">
        <v>829562.7127506847</v>
      </c>
      <c r="C157" s="6">
        <v>12876.957249315339</v>
      </c>
    </row>
    <row r="158" spans="1:3">
      <c r="A158" s="6">
        <v>127</v>
      </c>
      <c r="B158" s="6">
        <v>780107.48033420939</v>
      </c>
      <c r="C158" s="6">
        <v>62050.439665790647</v>
      </c>
    </row>
    <row r="159" spans="1:3">
      <c r="A159" s="6">
        <v>128</v>
      </c>
      <c r="B159" s="6">
        <v>726047.21733613813</v>
      </c>
      <c r="C159" s="6">
        <v>-28891.917336138082</v>
      </c>
    </row>
    <row r="160" spans="1:3">
      <c r="A160" s="6">
        <v>129</v>
      </c>
      <c r="B160" s="6">
        <v>830589.33630255016</v>
      </c>
      <c r="C160" s="6">
        <v>18428.963697449886</v>
      </c>
    </row>
    <row r="161" spans="1:3">
      <c r="A161" s="6">
        <v>130</v>
      </c>
      <c r="B161" s="6">
        <v>822427.01179150038</v>
      </c>
      <c r="C161" s="6">
        <v>-20596.661791500403</v>
      </c>
    </row>
    <row r="162" spans="1:3">
      <c r="A162" s="6">
        <v>131</v>
      </c>
      <c r="B162" s="6">
        <v>765285.57137706818</v>
      </c>
      <c r="C162" s="6">
        <v>-40050.291377068148</v>
      </c>
    </row>
    <row r="163" spans="1:3">
      <c r="A163" s="6">
        <v>132</v>
      </c>
      <c r="B163" s="6">
        <v>836897.30793395475</v>
      </c>
      <c r="C163" s="6">
        <v>-25444.587933954783</v>
      </c>
    </row>
    <row r="164" spans="1:3">
      <c r="A164" s="6">
        <v>133</v>
      </c>
      <c r="B164" s="6">
        <v>579625.46439132956</v>
      </c>
      <c r="C164" s="6">
        <v>-52325.334391329554</v>
      </c>
    </row>
    <row r="165" spans="1:3">
      <c r="A165" s="6">
        <v>134</v>
      </c>
      <c r="B165" s="6">
        <v>477992.79328732379</v>
      </c>
      <c r="C165" s="6">
        <v>-77161.143287323765</v>
      </c>
    </row>
    <row r="166" spans="1:3">
      <c r="A166" s="6">
        <v>135</v>
      </c>
      <c r="B166" s="6">
        <v>580512.24633973127</v>
      </c>
      <c r="C166" s="6">
        <v>12735.003660268732</v>
      </c>
    </row>
    <row r="167" spans="1:3">
      <c r="A167" s="6">
        <v>136</v>
      </c>
      <c r="B167" s="6">
        <v>537330.22915133869</v>
      </c>
      <c r="C167" s="6">
        <v>-8254.2791513387347</v>
      </c>
    </row>
    <row r="168" spans="1:3">
      <c r="A168" s="6">
        <v>137</v>
      </c>
      <c r="B168" s="6">
        <v>759825.85424575862</v>
      </c>
      <c r="C168" s="6">
        <v>-126187.82424575859</v>
      </c>
    </row>
    <row r="169" spans="1:3">
      <c r="A169" s="6">
        <v>138</v>
      </c>
      <c r="B169" s="6">
        <v>701696.30473842158</v>
      </c>
      <c r="C169" s="6">
        <v>41652.535261578392</v>
      </c>
    </row>
    <row r="170" spans="1:3">
      <c r="A170" s="6">
        <v>139</v>
      </c>
      <c r="B170" s="6">
        <v>705566.10738931468</v>
      </c>
      <c r="C170" s="6">
        <v>53261.532610685332</v>
      </c>
    </row>
    <row r="171" spans="1:3">
      <c r="A171" s="6">
        <v>140</v>
      </c>
      <c r="B171" s="6">
        <v>628658.00810870097</v>
      </c>
      <c r="C171" s="6">
        <v>17901.701891298988</v>
      </c>
    </row>
    <row r="172" spans="1:3">
      <c r="A172" s="6">
        <v>141</v>
      </c>
      <c r="B172" s="6">
        <v>653475.37682396104</v>
      </c>
      <c r="C172" s="6">
        <v>62415.153176038992</v>
      </c>
    </row>
    <row r="173" spans="1:3">
      <c r="A173" s="6">
        <v>142</v>
      </c>
      <c r="B173" s="6">
        <v>673497.54868503194</v>
      </c>
      <c r="C173" s="6">
        <v>41600.021314968006</v>
      </c>
    </row>
    <row r="174" spans="1:3">
      <c r="A174" s="6">
        <v>143</v>
      </c>
      <c r="B174" s="6">
        <v>644981.74838084821</v>
      </c>
      <c r="C174" s="6">
        <v>37657.531619151821</v>
      </c>
    </row>
    <row r="175" spans="1:3">
      <c r="A175" s="6">
        <v>144</v>
      </c>
      <c r="B175" s="6">
        <v>657998.52398266818</v>
      </c>
      <c r="C175" s="6">
        <v>37099.98601733183</v>
      </c>
    </row>
    <row r="176" spans="1:3">
      <c r="A176" s="6">
        <v>145</v>
      </c>
      <c r="B176" s="6">
        <v>616725.71437842771</v>
      </c>
      <c r="C176" s="6">
        <v>-38993.144378427765</v>
      </c>
    </row>
    <row r="177" spans="1:3">
      <c r="A177" s="6">
        <v>146</v>
      </c>
      <c r="B177" s="6">
        <v>572052.42633350182</v>
      </c>
      <c r="C177" s="6">
        <v>-34994.09633350186</v>
      </c>
    </row>
    <row r="178" spans="1:3">
      <c r="A178" s="6">
        <v>147</v>
      </c>
      <c r="B178" s="6">
        <v>604079.44631191087</v>
      </c>
      <c r="C178" s="6">
        <v>-2510.5763119108742</v>
      </c>
    </row>
    <row r="179" spans="1:3">
      <c r="A179" s="6">
        <v>148</v>
      </c>
      <c r="B179" s="6">
        <v>582130.02793524531</v>
      </c>
      <c r="C179" s="6">
        <v>-11165.18793524534</v>
      </c>
    </row>
    <row r="180" spans="1:3">
      <c r="A180" s="6">
        <v>149</v>
      </c>
      <c r="B180" s="6">
        <v>655853.23133503983</v>
      </c>
      <c r="C180" s="6">
        <v>-41828.3213350398</v>
      </c>
    </row>
    <row r="181" spans="1:3">
      <c r="A181" s="6">
        <v>150</v>
      </c>
      <c r="B181" s="6">
        <v>673492.30216339766</v>
      </c>
      <c r="C181" s="6">
        <v>39376.047836602316</v>
      </c>
    </row>
    <row r="182" spans="1:3">
      <c r="A182" s="6">
        <v>151</v>
      </c>
      <c r="B182" s="6">
        <v>641446.4649619608</v>
      </c>
      <c r="C182" s="6">
        <v>55297.685038039228</v>
      </c>
    </row>
    <row r="183" spans="1:3">
      <c r="A183" s="6">
        <v>152</v>
      </c>
      <c r="B183" s="6">
        <v>678690.51114612643</v>
      </c>
      <c r="C183" s="6">
        <v>47157.478853873559</v>
      </c>
    </row>
    <row r="184" spans="1:3">
      <c r="A184" s="6">
        <v>153</v>
      </c>
      <c r="B184" s="6">
        <v>791967.83157299296</v>
      </c>
      <c r="C184" s="6">
        <v>-6939.58157299296</v>
      </c>
    </row>
    <row r="185" spans="1:3">
      <c r="A185" s="6">
        <v>154</v>
      </c>
      <c r="B185" s="6">
        <v>691645.03552431799</v>
      </c>
      <c r="C185" s="6">
        <v>6847.6344756820472</v>
      </c>
    </row>
    <row r="186" spans="1:3">
      <c r="A186" s="6">
        <v>155</v>
      </c>
      <c r="B186" s="6">
        <v>712332.52670719451</v>
      </c>
      <c r="C186" s="6">
        <v>-26502.286707194522</v>
      </c>
    </row>
    <row r="187" spans="1:3">
      <c r="A187" s="6">
        <v>156</v>
      </c>
      <c r="B187" s="6">
        <v>696305.15007034258</v>
      </c>
      <c r="C187" s="6">
        <v>6013.7899296573596</v>
      </c>
    </row>
    <row r="188" spans="1:3">
      <c r="A188" s="6">
        <v>157</v>
      </c>
      <c r="B188" s="6">
        <v>722311.84668199625</v>
      </c>
      <c r="C188" s="6">
        <v>-22233.5266819963</v>
      </c>
    </row>
    <row r="189" spans="1:3">
      <c r="A189" s="6">
        <v>158</v>
      </c>
      <c r="B189" s="6">
        <v>618913.24289724289</v>
      </c>
      <c r="C189" s="6">
        <v>-16910.922897242941</v>
      </c>
    </row>
    <row r="190" spans="1:3">
      <c r="A190" s="6">
        <v>159</v>
      </c>
      <c r="B190" s="6">
        <v>695720.99246485194</v>
      </c>
      <c r="C190" s="6">
        <v>28495.077535148012</v>
      </c>
    </row>
    <row r="191" spans="1:3">
      <c r="A191" s="6">
        <v>160</v>
      </c>
      <c r="B191" s="6">
        <v>551251.46602474293</v>
      </c>
      <c r="C191" s="6">
        <v>69721.563975257101</v>
      </c>
    </row>
    <row r="192" spans="1:3">
      <c r="A192" s="6">
        <v>161</v>
      </c>
      <c r="B192" s="6">
        <v>694215.66186109313</v>
      </c>
      <c r="C192" s="6">
        <v>-43735.601861093077</v>
      </c>
    </row>
    <row r="193" spans="1:3">
      <c r="A193" s="6">
        <v>162</v>
      </c>
      <c r="B193" s="6">
        <v>709168.89812003216</v>
      </c>
      <c r="C193" s="6">
        <v>69129.981879967847</v>
      </c>
    </row>
    <row r="194" spans="1:3">
      <c r="A194" s="6">
        <v>163</v>
      </c>
      <c r="B194" s="6">
        <v>729673.64357299497</v>
      </c>
      <c r="C194" s="6">
        <v>-52576.933572995011</v>
      </c>
    </row>
    <row r="195" spans="1:3">
      <c r="A195" s="6">
        <v>164</v>
      </c>
      <c r="B195" s="6">
        <v>696558.93001944711</v>
      </c>
      <c r="C195" s="6">
        <v>-4550.2900194471003</v>
      </c>
    </row>
    <row r="196" spans="1:3">
      <c r="A196" s="6">
        <v>165</v>
      </c>
      <c r="B196" s="6">
        <v>789777.54450114619</v>
      </c>
      <c r="C196" s="6">
        <v>36020.365498853847</v>
      </c>
    </row>
    <row r="197" spans="1:3">
      <c r="A197" s="6">
        <v>166</v>
      </c>
      <c r="B197" s="6">
        <v>735807.80429221725</v>
      </c>
      <c r="C197" s="6">
        <v>-29522.284292217228</v>
      </c>
    </row>
    <row r="198" spans="1:3">
      <c r="A198" s="6">
        <v>167</v>
      </c>
      <c r="B198" s="6">
        <v>664729.36882179463</v>
      </c>
      <c r="C198" s="6">
        <v>805.33117820532061</v>
      </c>
    </row>
    <row r="199" spans="1:3">
      <c r="A199" s="6">
        <v>168</v>
      </c>
      <c r="B199" s="6">
        <v>805052.12469986477</v>
      </c>
      <c r="C199" s="6">
        <v>15677.165300135268</v>
      </c>
    </row>
    <row r="200" spans="1:3">
      <c r="A200" s="6">
        <v>169</v>
      </c>
      <c r="B200" s="6">
        <v>785265.97494491597</v>
      </c>
      <c r="C200" s="6">
        <v>-45434.24494491599</v>
      </c>
    </row>
    <row r="201" spans="1:3">
      <c r="A201" s="6">
        <v>170</v>
      </c>
      <c r="B201" s="6">
        <v>679776.30982909363</v>
      </c>
      <c r="C201" s="6">
        <v>-86139.169829093618</v>
      </c>
    </row>
    <row r="202" spans="1:3">
      <c r="A202" s="6">
        <v>171</v>
      </c>
      <c r="B202" s="6">
        <v>749297.55689373985</v>
      </c>
      <c r="C202" s="6">
        <v>20405.20310626016</v>
      </c>
    </row>
    <row r="203" spans="1:3">
      <c r="A203" s="6">
        <v>172</v>
      </c>
      <c r="B203" s="6">
        <v>692170.97003210383</v>
      </c>
      <c r="C203" s="6">
        <v>-12439.400032103877</v>
      </c>
    </row>
    <row r="204" spans="1:3">
      <c r="A204" s="6">
        <v>173</v>
      </c>
      <c r="B204" s="6">
        <v>756939.90950321138</v>
      </c>
      <c r="C204" s="6">
        <v>23404.270496788668</v>
      </c>
    </row>
    <row r="205" spans="1:3">
      <c r="A205" s="6">
        <v>174</v>
      </c>
      <c r="B205" s="6">
        <v>763103.67063675553</v>
      </c>
      <c r="C205" s="6">
        <v>-41739.560636755545</v>
      </c>
    </row>
    <row r="206" spans="1:3">
      <c r="A206" s="6">
        <v>175</v>
      </c>
      <c r="B206" s="6">
        <v>794509.55092115479</v>
      </c>
      <c r="C206" s="6">
        <v>-36371.260921154753</v>
      </c>
    </row>
    <row r="207" spans="1:3">
      <c r="A207" s="6">
        <v>176</v>
      </c>
      <c r="B207" s="6">
        <v>810026.72956086427</v>
      </c>
      <c r="C207" s="6">
        <v>-5762.7295608642744</v>
      </c>
    </row>
    <row r="208" spans="1:3">
      <c r="A208" s="6">
        <v>177</v>
      </c>
      <c r="B208" s="6">
        <v>883992.4971306955</v>
      </c>
      <c r="C208" s="6">
        <v>3545.2528693045024</v>
      </c>
    </row>
    <row r="209" spans="1:3">
      <c r="A209" s="6">
        <v>178</v>
      </c>
      <c r="B209" s="6">
        <v>693727.98355336534</v>
      </c>
      <c r="C209" s="6">
        <v>89854.016446634661</v>
      </c>
    </row>
    <row r="210" spans="1:3">
      <c r="A210" s="6">
        <v>179</v>
      </c>
      <c r="B210" s="6">
        <v>744954.1556644158</v>
      </c>
      <c r="C210" s="6">
        <v>37001.364335584221</v>
      </c>
    </row>
    <row r="211" spans="1:3">
      <c r="A211" s="6">
        <v>180</v>
      </c>
      <c r="B211" s="6">
        <v>816328.93174484058</v>
      </c>
      <c r="C211" s="6">
        <v>81702.108255159459</v>
      </c>
    </row>
    <row r="212" spans="1:3">
      <c r="A212" s="6">
        <v>181</v>
      </c>
      <c r="B212" s="6">
        <v>853345.30362049036</v>
      </c>
      <c r="C212" s="6">
        <v>1995.976379509666</v>
      </c>
    </row>
    <row r="213" spans="1:3">
      <c r="A213" s="6">
        <v>182</v>
      </c>
      <c r="B213" s="6">
        <v>756576.96187249606</v>
      </c>
      <c r="C213" s="6">
        <v>-5183.0818724960554</v>
      </c>
    </row>
    <row r="214" spans="1:3">
      <c r="A214" s="6">
        <v>183</v>
      </c>
      <c r="B214" s="6">
        <v>798735.72344935208</v>
      </c>
      <c r="C214" s="6">
        <v>-37658.643449352123</v>
      </c>
    </row>
    <row r="215" spans="1:3">
      <c r="A215" s="6">
        <v>184</v>
      </c>
      <c r="B215" s="6">
        <v>826175.10207029048</v>
      </c>
      <c r="C215" s="6">
        <v>-6514.5120702905115</v>
      </c>
    </row>
    <row r="216" spans="1:3">
      <c r="A216" s="6">
        <v>185</v>
      </c>
      <c r="B216" s="6">
        <v>680561.23544280522</v>
      </c>
      <c r="C216" s="6">
        <v>1294.3245571948355</v>
      </c>
    </row>
    <row r="217" spans="1:3">
      <c r="A217" s="6">
        <v>186</v>
      </c>
      <c r="B217" s="6">
        <v>637044.72553815495</v>
      </c>
      <c r="C217" s="6">
        <v>41266.444461845094</v>
      </c>
    </row>
    <row r="218" spans="1:3">
      <c r="A218" s="6">
        <v>187</v>
      </c>
      <c r="B218" s="6">
        <v>669314.99855170364</v>
      </c>
      <c r="C218" s="6">
        <v>96591.951448296313</v>
      </c>
    </row>
    <row r="219" spans="1:3">
      <c r="A219" s="6">
        <v>188</v>
      </c>
      <c r="B219" s="6">
        <v>750158.56375209102</v>
      </c>
      <c r="C219" s="6">
        <v>-37612.183752091019</v>
      </c>
    </row>
    <row r="220" spans="1:3">
      <c r="A220" s="6">
        <v>189</v>
      </c>
      <c r="B220" s="6">
        <v>602378.75148246903</v>
      </c>
      <c r="C220" s="6">
        <v>23615.078517530928</v>
      </c>
    </row>
    <row r="221" spans="1:3">
      <c r="A221" s="6">
        <v>190</v>
      </c>
      <c r="B221" s="6">
        <v>542631.91407177597</v>
      </c>
      <c r="C221" s="6">
        <v>8331.0159282240784</v>
      </c>
    </row>
    <row r="222" spans="1:3">
      <c r="A222" s="6">
        <v>191</v>
      </c>
      <c r="B222" s="6">
        <v>473161.17410797032</v>
      </c>
      <c r="C222" s="6">
        <v>-29885.584107970295</v>
      </c>
    </row>
    <row r="223" spans="1:3">
      <c r="A223" s="6">
        <v>192</v>
      </c>
      <c r="B223" s="6">
        <v>600195.98834480264</v>
      </c>
      <c r="C223" s="6">
        <v>-46183.918344802689</v>
      </c>
    </row>
    <row r="224" spans="1:3">
      <c r="A224" s="6">
        <v>193</v>
      </c>
      <c r="B224" s="6">
        <v>685680.62632212532</v>
      </c>
      <c r="C224" s="6">
        <v>-42251.776322125341</v>
      </c>
    </row>
    <row r="225" spans="1:3">
      <c r="A225" s="6">
        <v>194</v>
      </c>
      <c r="B225" s="6">
        <v>617873.72174882982</v>
      </c>
      <c r="C225" s="6">
        <v>-5949.4517488298006</v>
      </c>
    </row>
    <row r="226" spans="1:3">
      <c r="A226" s="6">
        <v>195</v>
      </c>
      <c r="B226" s="6">
        <v>575192.51172754634</v>
      </c>
      <c r="C226" s="6">
        <v>-15770.491727546323</v>
      </c>
    </row>
    <row r="227" spans="1:3">
      <c r="A227" s="6">
        <v>196</v>
      </c>
      <c r="B227" s="6">
        <v>530165.2766575698</v>
      </c>
      <c r="C227" s="6">
        <v>-80700.216657569807</v>
      </c>
    </row>
    <row r="228" spans="1:3">
      <c r="A228" s="6">
        <v>197</v>
      </c>
      <c r="B228" s="6">
        <v>641018.7186229541</v>
      </c>
      <c r="C228" s="6">
        <v>50428.711377045955</v>
      </c>
    </row>
    <row r="229" spans="1:3">
      <c r="A229" s="6">
        <v>198</v>
      </c>
      <c r="B229" s="6">
        <v>618446.76873805386</v>
      </c>
      <c r="C229" s="6">
        <v>-44380.158738053869</v>
      </c>
    </row>
    <row r="230" spans="1:3">
      <c r="A230" s="6">
        <v>199</v>
      </c>
      <c r="B230" s="6">
        <v>612381.28730001522</v>
      </c>
      <c r="C230" s="6">
        <v>-33431.44730001525</v>
      </c>
    </row>
    <row r="231" spans="1:3">
      <c r="A231" s="6">
        <v>200</v>
      </c>
      <c r="B231" s="6">
        <v>655923.73520861333</v>
      </c>
      <c r="C231" s="6">
        <v>79862.904791386682</v>
      </c>
    </row>
    <row r="232" spans="1:3">
      <c r="A232" s="6">
        <v>201</v>
      </c>
      <c r="B232" s="6">
        <v>613891.93134510994</v>
      </c>
      <c r="C232" s="6">
        <v>-14987.031345109921</v>
      </c>
    </row>
    <row r="233" spans="1:3">
      <c r="A233" s="6">
        <v>202</v>
      </c>
      <c r="B233" s="6">
        <v>686618.67899468273</v>
      </c>
      <c r="C233" s="6">
        <v>101096.83100531728</v>
      </c>
    </row>
    <row r="234" spans="1:3">
      <c r="A234" s="6">
        <v>203</v>
      </c>
      <c r="B234" s="6">
        <v>665598.17993782554</v>
      </c>
      <c r="C234" s="6">
        <v>-58513.259937825496</v>
      </c>
    </row>
    <row r="235" spans="1:3">
      <c r="A235" s="6">
        <v>204</v>
      </c>
      <c r="B235" s="6">
        <v>666536.69738121575</v>
      </c>
      <c r="C235" s="6">
        <v>-15741.207381215761</v>
      </c>
    </row>
    <row r="236" spans="1:3">
      <c r="A236" s="6">
        <v>205</v>
      </c>
      <c r="B236" s="6">
        <v>824785.31787091959</v>
      </c>
      <c r="C236" s="6">
        <v>275.20212908042595</v>
      </c>
    </row>
    <row r="237" spans="1:3">
      <c r="A237" s="6">
        <v>206</v>
      </c>
      <c r="B237" s="6">
        <v>721090.1297124821</v>
      </c>
      <c r="C237" s="6">
        <v>74374.340287517873</v>
      </c>
    </row>
    <row r="238" spans="1:3">
      <c r="A238" s="6">
        <v>207</v>
      </c>
      <c r="B238" s="6">
        <v>740805.52826685074</v>
      </c>
      <c r="C238" s="6">
        <v>-68936.938266850775</v>
      </c>
    </row>
    <row r="239" spans="1:3">
      <c r="A239" s="6">
        <v>208</v>
      </c>
      <c r="B239" s="6">
        <v>732956.33337777923</v>
      </c>
      <c r="C239" s="6">
        <v>-57038.703377779224</v>
      </c>
    </row>
    <row r="240" spans="1:3">
      <c r="A240" s="6">
        <v>209</v>
      </c>
      <c r="B240" s="6">
        <v>809721.95207429328</v>
      </c>
      <c r="C240" s="6">
        <v>724.57792570674792</v>
      </c>
    </row>
    <row r="241" spans="1:3">
      <c r="A241" s="6">
        <v>210</v>
      </c>
      <c r="B241" s="6">
        <v>771975.34580831695</v>
      </c>
      <c r="C241" s="6">
        <v>-80687.155808317009</v>
      </c>
    </row>
    <row r="242" spans="1:3">
      <c r="A242" s="6">
        <v>211</v>
      </c>
      <c r="B242" s="6">
        <v>961640.22098165075</v>
      </c>
      <c r="C242" s="6">
        <v>-14806.680981650716</v>
      </c>
    </row>
    <row r="243" spans="1:3">
      <c r="A243" s="6">
        <v>212</v>
      </c>
      <c r="B243" s="6">
        <v>776491.31781616108</v>
      </c>
      <c r="C243" s="6">
        <v>-14528.087816161104</v>
      </c>
    </row>
    <row r="244" spans="1:3">
      <c r="A244" s="6">
        <v>213</v>
      </c>
      <c r="B244" s="6">
        <v>780322.82411793247</v>
      </c>
      <c r="C244" s="6">
        <v>31829.775882067508</v>
      </c>
    </row>
    <row r="245" spans="1:3">
      <c r="A245" s="6">
        <v>214</v>
      </c>
      <c r="B245" s="6">
        <v>755734.71714557498</v>
      </c>
      <c r="C245" s="6">
        <v>49240.782854425022</v>
      </c>
    </row>
    <row r="246" spans="1:3">
      <c r="A246" s="6">
        <v>215</v>
      </c>
      <c r="B246" s="6">
        <v>767484.4622435543</v>
      </c>
      <c r="C246" s="6">
        <v>-15162.742243554327</v>
      </c>
    </row>
    <row r="247" spans="1:3">
      <c r="A247" s="6">
        <v>216</v>
      </c>
      <c r="B247" s="6">
        <v>822314.61399995582</v>
      </c>
      <c r="C247" s="6">
        <v>14593.626000044169</v>
      </c>
    </row>
    <row r="248" spans="1:3">
      <c r="A248" s="6">
        <v>217</v>
      </c>
      <c r="B248" s="6">
        <v>650522.16442806285</v>
      </c>
      <c r="C248" s="6">
        <v>23766.935571937123</v>
      </c>
    </row>
    <row r="249" spans="1:3">
      <c r="A249" s="6">
        <v>218</v>
      </c>
      <c r="B249" s="6">
        <v>601961.06283376692</v>
      </c>
      <c r="C249" s="6">
        <v>20931.357166233123</v>
      </c>
    </row>
    <row r="250" spans="1:3">
      <c r="A250" s="6">
        <v>219</v>
      </c>
      <c r="B250" s="6">
        <v>607980.17456155806</v>
      </c>
      <c r="C250" s="6">
        <v>65368.385438441997</v>
      </c>
    </row>
    <row r="251" spans="1:3">
      <c r="A251" s="6">
        <v>220</v>
      </c>
      <c r="B251" s="6">
        <v>567857.16463411506</v>
      </c>
      <c r="C251" s="6">
        <v>38421.135365884984</v>
      </c>
    </row>
    <row r="252" spans="1:3">
      <c r="A252" s="6">
        <v>221</v>
      </c>
      <c r="B252" s="6">
        <v>697420.18021956016</v>
      </c>
      <c r="C252" s="6">
        <v>14799.629780439893</v>
      </c>
    </row>
    <row r="253" spans="1:3">
      <c r="A253" s="6">
        <v>222</v>
      </c>
      <c r="B253" s="6">
        <v>676288.00815539947</v>
      </c>
      <c r="C253" s="6">
        <v>-3617.4681553994305</v>
      </c>
    </row>
    <row r="254" spans="1:3">
      <c r="A254" s="6">
        <v>223</v>
      </c>
      <c r="B254" s="6">
        <v>734615.8904293878</v>
      </c>
      <c r="C254" s="6">
        <v>-1947.9704293877585</v>
      </c>
    </row>
    <row r="255" spans="1:3">
      <c r="A255" s="6">
        <v>224</v>
      </c>
      <c r="B255" s="6">
        <v>779381.12021238473</v>
      </c>
      <c r="C255" s="6">
        <v>-55849.720212384709</v>
      </c>
    </row>
    <row r="256" spans="1:3">
      <c r="A256" s="6">
        <v>225</v>
      </c>
      <c r="B256" s="6">
        <v>627125.53024780657</v>
      </c>
      <c r="C256" s="6">
        <v>14439.069752193405</v>
      </c>
    </row>
    <row r="257" spans="1:3">
      <c r="A257" s="6">
        <v>226</v>
      </c>
      <c r="B257" s="6">
        <v>555391.73384282226</v>
      </c>
      <c r="C257" s="6">
        <v>-18846.243842822267</v>
      </c>
    </row>
    <row r="258" spans="1:3">
      <c r="A258" s="6">
        <v>227</v>
      </c>
      <c r="B258" s="6">
        <v>569518.35231326369</v>
      </c>
      <c r="C258" s="6">
        <v>-41836.792313263635</v>
      </c>
    </row>
    <row r="259" spans="1:3">
      <c r="A259" s="6">
        <v>228</v>
      </c>
      <c r="B259" s="6">
        <v>482371.71757722372</v>
      </c>
      <c r="C259" s="6">
        <v>47227.22242277622</v>
      </c>
    </row>
    <row r="260" spans="1:3">
      <c r="A260" s="6">
        <v>229</v>
      </c>
      <c r="B260" s="6">
        <v>632597.43148350215</v>
      </c>
      <c r="C260" s="6">
        <v>-61634.121483502095</v>
      </c>
    </row>
    <row r="261" spans="1:3">
      <c r="A261" s="6">
        <v>230</v>
      </c>
      <c r="B261" s="6">
        <v>823050.30234461348</v>
      </c>
      <c r="C261" s="6">
        <v>47887.097655386548</v>
      </c>
    </row>
    <row r="262" spans="1:3">
      <c r="A262" s="6">
        <v>231</v>
      </c>
      <c r="B262" s="6">
        <v>644199.5082734141</v>
      </c>
      <c r="C262" s="6">
        <v>-47230.238273414085</v>
      </c>
    </row>
    <row r="263" spans="1:3">
      <c r="A263" s="6">
        <v>232</v>
      </c>
      <c r="B263" s="6">
        <v>608563.75441985682</v>
      </c>
      <c r="C263" s="6">
        <v>38949.095580143156</v>
      </c>
    </row>
    <row r="264" spans="1:3">
      <c r="A264" s="6">
        <v>233</v>
      </c>
      <c r="B264" s="6">
        <v>596445.75650675956</v>
      </c>
      <c r="C264" s="6">
        <v>61626.383493240457</v>
      </c>
    </row>
    <row r="265" spans="1:3">
      <c r="A265" s="6">
        <v>234</v>
      </c>
      <c r="B265" s="6">
        <v>648149.94336892094</v>
      </c>
      <c r="C265" s="6">
        <v>75155.166631079046</v>
      </c>
    </row>
    <row r="266" spans="1:3">
      <c r="A266" s="6">
        <v>235</v>
      </c>
      <c r="B266" s="6">
        <v>657858.63416604209</v>
      </c>
      <c r="C266" s="6">
        <v>-17192.10416604206</v>
      </c>
    </row>
    <row r="267" spans="1:3">
      <c r="A267" s="6">
        <v>236</v>
      </c>
      <c r="B267" s="6">
        <v>658329.85492086399</v>
      </c>
      <c r="C267" s="6">
        <v>12299.625079135993</v>
      </c>
    </row>
    <row r="268" spans="1:3">
      <c r="A268" s="6">
        <v>237</v>
      </c>
      <c r="B268" s="6">
        <v>777862.94064552453</v>
      </c>
      <c r="C268" s="6">
        <v>-56783.590645524557</v>
      </c>
    </row>
    <row r="269" spans="1:3">
      <c r="A269" s="6">
        <v>238</v>
      </c>
      <c r="B269" s="6">
        <v>811163.61957628652</v>
      </c>
      <c r="C269" s="6">
        <v>-808.59957628650591</v>
      </c>
    </row>
    <row r="270" spans="1:3">
      <c r="A270" s="6">
        <v>239</v>
      </c>
      <c r="B270" s="6">
        <v>781624.75082573236</v>
      </c>
      <c r="C270" s="6">
        <v>-19705.500825732364</v>
      </c>
    </row>
    <row r="271" spans="1:3">
      <c r="A271" s="6">
        <v>240</v>
      </c>
      <c r="B271" s="6">
        <v>730257.2503891068</v>
      </c>
      <c r="C271" s="6">
        <v>6812.9296108932467</v>
      </c>
    </row>
    <row r="272" spans="1:3">
      <c r="A272" s="6">
        <v>241</v>
      </c>
      <c r="B272" s="6">
        <v>748808.73089846747</v>
      </c>
      <c r="C272" s="6">
        <v>28184.199101532577</v>
      </c>
    </row>
    <row r="273" spans="1:3">
      <c r="A273" s="6">
        <v>242</v>
      </c>
      <c r="B273" s="6">
        <v>655201.4983133151</v>
      </c>
      <c r="C273" s="6">
        <v>21135.911686684936</v>
      </c>
    </row>
    <row r="274" spans="1:3">
      <c r="A274" s="6">
        <v>243</v>
      </c>
      <c r="B274" s="6">
        <v>824255.83323616767</v>
      </c>
      <c r="C274" s="6">
        <v>3963.8367638323689</v>
      </c>
    </row>
    <row r="275" spans="1:3">
      <c r="A275" s="6">
        <v>244</v>
      </c>
      <c r="B275" s="6">
        <v>749644.60576961713</v>
      </c>
      <c r="C275" s="6">
        <v>13515.314230382908</v>
      </c>
    </row>
    <row r="276" spans="1:3">
      <c r="A276" s="6">
        <v>245</v>
      </c>
      <c r="B276" s="6">
        <v>781591.17771441734</v>
      </c>
      <c r="C276" s="6">
        <v>20410.502285582712</v>
      </c>
    </row>
    <row r="277" spans="1:3">
      <c r="A277" s="6">
        <v>246</v>
      </c>
      <c r="B277" s="6">
        <v>750342.22599913739</v>
      </c>
      <c r="C277" s="6">
        <v>129.11400086258072</v>
      </c>
    </row>
    <row r="278" spans="1:3">
      <c r="A278" s="6">
        <v>247</v>
      </c>
      <c r="B278" s="6">
        <v>706078.29494652478</v>
      </c>
      <c r="C278" s="6">
        <v>-26847.434946524794</v>
      </c>
    </row>
    <row r="279" spans="1:3">
      <c r="A279" s="6">
        <v>248</v>
      </c>
      <c r="B279" s="6">
        <v>684282.07597514323</v>
      </c>
      <c r="C279" s="6">
        <v>-4393.3359751432436</v>
      </c>
    </row>
    <row r="280" spans="1:3">
      <c r="A280" s="6">
        <v>249</v>
      </c>
      <c r="B280" s="6">
        <v>567865.10373988457</v>
      </c>
      <c r="C280" s="6">
        <v>38918.566260115476</v>
      </c>
    </row>
    <row r="281" spans="1:3">
      <c r="A281" s="6">
        <v>250</v>
      </c>
      <c r="B281" s="6">
        <v>685314.70343228034</v>
      </c>
      <c r="C281" s="6">
        <v>-42563.283432280296</v>
      </c>
    </row>
    <row r="282" spans="1:3">
      <c r="A282" s="6">
        <v>251</v>
      </c>
      <c r="B282" s="6">
        <v>638391.30442894122</v>
      </c>
      <c r="C282" s="6">
        <v>9562.475571058807</v>
      </c>
    </row>
    <row r="283" spans="1:3">
      <c r="A283" s="6">
        <v>252</v>
      </c>
      <c r="B283" s="6">
        <v>732306.52334522631</v>
      </c>
      <c r="C283" s="6">
        <v>-2866.0733452263521</v>
      </c>
    </row>
    <row r="284" spans="1:3">
      <c r="A284" s="6">
        <v>253</v>
      </c>
      <c r="B284" s="6">
        <v>729620.63692216331</v>
      </c>
      <c r="C284" s="6">
        <v>35328.363077836693</v>
      </c>
    </row>
    <row r="285" spans="1:3">
      <c r="A285" s="6">
        <v>254</v>
      </c>
      <c r="B285" s="6">
        <v>711849.14001789805</v>
      </c>
      <c r="C285" s="6">
        <v>87197.799982101889</v>
      </c>
    </row>
    <row r="286" spans="1:3">
      <c r="A286" s="6">
        <v>255</v>
      </c>
      <c r="B286" s="6">
        <v>681333.04330686957</v>
      </c>
      <c r="C286" s="6">
        <v>38746.496693130466</v>
      </c>
    </row>
    <row r="287" spans="1:3">
      <c r="A287" s="6">
        <v>256</v>
      </c>
      <c r="B287" s="6">
        <v>656084.39660751261</v>
      </c>
      <c r="C287" s="6">
        <v>-43694.256607512594</v>
      </c>
    </row>
    <row r="288" spans="1:3">
      <c r="A288" s="6">
        <v>257</v>
      </c>
      <c r="B288" s="6">
        <v>758653.61786977295</v>
      </c>
      <c r="C288" s="6">
        <v>81454.502130227047</v>
      </c>
    </row>
    <row r="289" spans="1:3">
      <c r="A289" s="6">
        <v>258</v>
      </c>
      <c r="B289" s="6">
        <v>695387.75629282556</v>
      </c>
      <c r="C289" s="6">
        <v>2500.3337071744027</v>
      </c>
    </row>
    <row r="290" spans="1:3">
      <c r="A290" s="6">
        <v>259</v>
      </c>
      <c r="B290" s="6">
        <v>741430.52231106267</v>
      </c>
      <c r="C290" s="6">
        <v>4685.067688937299</v>
      </c>
    </row>
    <row r="291" spans="1:3">
      <c r="A291" s="6">
        <v>260</v>
      </c>
      <c r="B291" s="6">
        <v>727261.40951850463</v>
      </c>
      <c r="C291" s="6">
        <v>48848.910481495317</v>
      </c>
    </row>
    <row r="292" spans="1:3">
      <c r="A292" s="6">
        <v>261</v>
      </c>
      <c r="B292" s="6">
        <v>511938.84318088298</v>
      </c>
      <c r="C292" s="6">
        <v>16913.776819117018</v>
      </c>
    </row>
    <row r="293" spans="1:3">
      <c r="A293" s="6">
        <v>262</v>
      </c>
      <c r="B293" s="6">
        <v>599129.64754286432</v>
      </c>
      <c r="C293" s="6">
        <v>6621.682457135641</v>
      </c>
    </row>
    <row r="294" spans="1:3">
      <c r="A294" s="6">
        <v>263</v>
      </c>
      <c r="B294" s="6">
        <v>613842.67927635857</v>
      </c>
      <c r="C294" s="6">
        <v>63797.970723641454</v>
      </c>
    </row>
    <row r="295" spans="1:3">
      <c r="A295" s="6">
        <v>264</v>
      </c>
      <c r="B295" s="6">
        <v>587736.03266304603</v>
      </c>
      <c r="C295" s="6">
        <v>48877.197336953948</v>
      </c>
    </row>
    <row r="296" spans="1:3">
      <c r="A296" s="6">
        <v>265</v>
      </c>
      <c r="B296" s="6">
        <v>701929.31490592239</v>
      </c>
      <c r="C296" s="6">
        <v>7055.8750940775499</v>
      </c>
    </row>
    <row r="297" spans="1:3">
      <c r="A297" s="6">
        <v>266</v>
      </c>
      <c r="B297" s="6">
        <v>743741.21979284089</v>
      </c>
      <c r="C297" s="6">
        <v>24051.720207159058</v>
      </c>
    </row>
    <row r="298" spans="1:3">
      <c r="A298" s="6">
        <v>267</v>
      </c>
      <c r="B298" s="6">
        <v>725918.14102896512</v>
      </c>
      <c r="C298" s="6">
        <v>19662.368971034884</v>
      </c>
    </row>
    <row r="299" spans="1:3">
      <c r="A299" s="6">
        <v>268</v>
      </c>
      <c r="B299" s="6">
        <v>714741.03915581037</v>
      </c>
      <c r="C299" s="6">
        <v>47587.270844189683</v>
      </c>
    </row>
    <row r="300" spans="1:3">
      <c r="A300" s="6">
        <v>269</v>
      </c>
      <c r="B300" s="6">
        <v>713233.22731947806</v>
      </c>
      <c r="C300" s="6">
        <v>-52599.237319478067</v>
      </c>
    </row>
    <row r="301" spans="1:3">
      <c r="A301" s="6">
        <v>270</v>
      </c>
      <c r="B301" s="6">
        <v>691133.0353035013</v>
      </c>
      <c r="C301" s="6">
        <v>48241.52469649876</v>
      </c>
    </row>
    <row r="302" spans="1:3">
      <c r="A302" s="6">
        <v>271</v>
      </c>
      <c r="B302" s="6">
        <v>794887.29075765237</v>
      </c>
      <c r="C302" s="6">
        <v>4869.1692423475906</v>
      </c>
    </row>
    <row r="303" spans="1:3">
      <c r="A303" s="6">
        <v>272</v>
      </c>
      <c r="B303" s="6">
        <v>671095.21522436349</v>
      </c>
      <c r="C303" s="6">
        <v>-77752.215224363492</v>
      </c>
    </row>
    <row r="304" spans="1:3">
      <c r="A304" s="6">
        <v>273</v>
      </c>
      <c r="B304" s="6">
        <v>652581.9920712997</v>
      </c>
      <c r="C304" s="6">
        <v>-7542.0220712997252</v>
      </c>
    </row>
    <row r="305" spans="1:3">
      <c r="A305" s="6">
        <v>274</v>
      </c>
      <c r="B305" s="6">
        <v>531318.9560052926</v>
      </c>
      <c r="C305" s="6">
        <v>30278.373994707363</v>
      </c>
    </row>
    <row r="306" spans="1:3">
      <c r="A306" s="6">
        <v>275</v>
      </c>
      <c r="B306" s="6">
        <v>644412.19099782733</v>
      </c>
      <c r="C306" s="6">
        <v>-8574.4509978273418</v>
      </c>
    </row>
    <row r="307" spans="1:3">
      <c r="A307" s="6">
        <v>276</v>
      </c>
      <c r="B307" s="6">
        <v>631375.38371174783</v>
      </c>
      <c r="C307" s="6">
        <v>55362.48628825217</v>
      </c>
    </row>
    <row r="308" spans="1:3">
      <c r="A308" s="6">
        <v>277</v>
      </c>
      <c r="B308" s="6">
        <v>755410.95234437019</v>
      </c>
      <c r="C308" s="6">
        <v>-82334.612344370224</v>
      </c>
    </row>
    <row r="309" spans="1:3">
      <c r="A309" s="6">
        <v>278</v>
      </c>
      <c r="B309" s="6">
        <v>726295.75120755041</v>
      </c>
      <c r="C309" s="6">
        <v>12252.668792449636</v>
      </c>
    </row>
    <row r="310" spans="1:3">
      <c r="A310" s="6">
        <v>279</v>
      </c>
      <c r="B310" s="6">
        <v>758591.05719120032</v>
      </c>
      <c r="C310" s="6">
        <v>-1971.2871912003029</v>
      </c>
    </row>
    <row r="311" spans="1:3">
      <c r="A311" s="6">
        <v>280</v>
      </c>
      <c r="B311" s="6">
        <v>805034.52902596735</v>
      </c>
      <c r="C311" s="6">
        <v>-43912.109025967307</v>
      </c>
    </row>
    <row r="312" spans="1:3">
      <c r="A312" s="6">
        <v>281</v>
      </c>
      <c r="B312" s="6">
        <v>593209.83651765774</v>
      </c>
      <c r="C312" s="6">
        <v>-68310.266517657787</v>
      </c>
    </row>
    <row r="313" spans="1:3">
      <c r="A313" s="6">
        <v>282</v>
      </c>
      <c r="B313" s="6">
        <v>603582.15628217463</v>
      </c>
      <c r="C313" s="6">
        <v>-48024.386282174615</v>
      </c>
    </row>
    <row r="314" spans="1:3">
      <c r="A314" s="6">
        <v>283</v>
      </c>
      <c r="B314" s="6">
        <v>682381.23956465046</v>
      </c>
      <c r="C314" s="6">
        <v>31702.440435349592</v>
      </c>
    </row>
    <row r="315" spans="1:3">
      <c r="A315" s="6">
        <v>284</v>
      </c>
      <c r="B315" s="6">
        <v>531539.78131477931</v>
      </c>
      <c r="C315" s="6">
        <v>-34099.961314779299</v>
      </c>
    </row>
    <row r="316" spans="1:3">
      <c r="A316" s="6">
        <v>285</v>
      </c>
      <c r="B316" s="6">
        <v>653845.38423009578</v>
      </c>
      <c r="C316" s="6">
        <v>-17069.724230095744</v>
      </c>
    </row>
    <row r="317" spans="1:3">
      <c r="A317" s="6">
        <v>286</v>
      </c>
      <c r="B317" s="6">
        <v>620683.53415920585</v>
      </c>
      <c r="C317" s="6">
        <v>12325.995840794174</v>
      </c>
    </row>
    <row r="318" spans="1:3">
      <c r="A318" s="6">
        <v>287</v>
      </c>
      <c r="B318" s="6">
        <v>588599.92377975339</v>
      </c>
      <c r="C318" s="6">
        <v>21349.076220246614</v>
      </c>
    </row>
    <row r="319" spans="1:3">
      <c r="A319" s="6">
        <v>288</v>
      </c>
      <c r="B319" s="6">
        <v>575872.92434246931</v>
      </c>
      <c r="C319" s="6">
        <v>-27769.224342469359</v>
      </c>
    </row>
    <row r="320" spans="1:3">
      <c r="A320" s="6">
        <v>289</v>
      </c>
      <c r="B320" s="6">
        <v>752225.36297428492</v>
      </c>
      <c r="C320" s="6">
        <v>-22800.942974284873</v>
      </c>
    </row>
    <row r="321" spans="1:3">
      <c r="A321" s="6">
        <v>290</v>
      </c>
      <c r="B321" s="6">
        <v>727534.56602362171</v>
      </c>
      <c r="C321" s="6">
        <v>-31273.076023621717</v>
      </c>
    </row>
    <row r="322" spans="1:3">
      <c r="A322" s="6">
        <v>291</v>
      </c>
      <c r="B322" s="6">
        <v>747016.50216994737</v>
      </c>
      <c r="C322" s="6">
        <v>66300.20783005259</v>
      </c>
    </row>
    <row r="323" spans="1:3">
      <c r="A323" s="6">
        <v>292</v>
      </c>
      <c r="B323" s="6">
        <v>697046.80562779121</v>
      </c>
      <c r="C323" s="6">
        <v>5022.1143722088309</v>
      </c>
    </row>
    <row r="324" spans="1:3">
      <c r="A324" s="6">
        <v>293</v>
      </c>
      <c r="B324" s="6">
        <v>575344.88937672367</v>
      </c>
      <c r="C324" s="6">
        <v>-29121.18937672372</v>
      </c>
    </row>
    <row r="325" spans="1:3">
      <c r="A325" s="6">
        <v>294</v>
      </c>
      <c r="B325" s="6">
        <v>519217.74447966798</v>
      </c>
      <c r="C325" s="6">
        <v>13903.515520332032</v>
      </c>
    </row>
    <row r="326" spans="1:3">
      <c r="A326" s="6">
        <v>295</v>
      </c>
      <c r="B326" s="6">
        <v>502707.5517028381</v>
      </c>
      <c r="C326" s="6">
        <v>-3737.231702838093</v>
      </c>
    </row>
    <row r="327" spans="1:3">
      <c r="A327" s="6">
        <v>296</v>
      </c>
      <c r="B327" s="6">
        <v>482189.98605308752</v>
      </c>
      <c r="C327" s="6">
        <v>5548.2739469124936</v>
      </c>
    </row>
    <row r="328" spans="1:3">
      <c r="A328" s="6">
        <v>297</v>
      </c>
      <c r="B328" s="6">
        <v>654024.42819105519</v>
      </c>
      <c r="C328" s="6">
        <v>14434.941808944801</v>
      </c>
    </row>
    <row r="329" spans="1:3">
      <c r="A329" s="6">
        <v>298</v>
      </c>
      <c r="B329" s="6">
        <v>653354.0744844717</v>
      </c>
      <c r="C329" s="6">
        <v>109808.37551552826</v>
      </c>
    </row>
    <row r="330" spans="1:3">
      <c r="A330" s="6">
        <v>299</v>
      </c>
      <c r="B330" s="6">
        <v>605565.9423098003</v>
      </c>
      <c r="C330" s="6">
        <v>-6548.6123098003445</v>
      </c>
    </row>
    <row r="331" spans="1:3">
      <c r="A331" s="6">
        <v>300</v>
      </c>
      <c r="B331" s="6">
        <v>468594.07921199204</v>
      </c>
      <c r="C331" s="6">
        <v>-67011.499211992021</v>
      </c>
    </row>
    <row r="332" spans="1:3">
      <c r="A332" s="6">
        <v>301</v>
      </c>
      <c r="B332" s="6">
        <v>724539.51202550076</v>
      </c>
      <c r="C332" s="6">
        <v>-20726.522025500773</v>
      </c>
    </row>
    <row r="333" spans="1:3">
      <c r="A333" s="6">
        <v>302</v>
      </c>
      <c r="B333" s="6">
        <v>743654.28334664775</v>
      </c>
      <c r="C333" s="6">
        <v>-19307.553346647765</v>
      </c>
    </row>
    <row r="334" spans="1:3">
      <c r="A334" s="6">
        <v>303</v>
      </c>
      <c r="B334" s="6">
        <v>731896.34691879095</v>
      </c>
      <c r="C334" s="6">
        <v>-1006.3369187909411</v>
      </c>
    </row>
    <row r="335" spans="1:3">
      <c r="A335" s="6">
        <v>304</v>
      </c>
      <c r="B335" s="6">
        <v>698967.44896659721</v>
      </c>
      <c r="C335" s="6">
        <v>81613.501033402747</v>
      </c>
    </row>
    <row r="336" spans="1:3">
      <c r="A336" s="6">
        <v>305</v>
      </c>
      <c r="B336" s="6">
        <v>676953.84421492671</v>
      </c>
      <c r="C336" s="6">
        <v>51003.635785073275</v>
      </c>
    </row>
    <row r="337" spans="1:3">
      <c r="A337" s="6">
        <v>306</v>
      </c>
      <c r="B337" s="6">
        <v>661425.3765216294</v>
      </c>
      <c r="C337" s="6">
        <v>-123049.3765216294</v>
      </c>
    </row>
    <row r="338" spans="1:3">
      <c r="A338" s="6">
        <v>307</v>
      </c>
      <c r="B338" s="6">
        <v>636839.02223763661</v>
      </c>
      <c r="C338" s="6">
        <v>28503.467762363376</v>
      </c>
    </row>
    <row r="339" spans="1:3">
      <c r="A339" s="6">
        <v>308</v>
      </c>
      <c r="B339" s="6">
        <v>692809.8072445608</v>
      </c>
      <c r="C339" s="6">
        <v>-41645.627244560746</v>
      </c>
    </row>
    <row r="340" spans="1:3">
      <c r="A340" s="6">
        <v>309</v>
      </c>
      <c r="B340" s="6">
        <v>647029.63478356577</v>
      </c>
      <c r="C340" s="6">
        <v>-18491.334783565719</v>
      </c>
    </row>
    <row r="341" spans="1:3">
      <c r="A341" s="6">
        <v>310</v>
      </c>
      <c r="B341" s="6">
        <v>606778.7378192218</v>
      </c>
      <c r="C341" s="6">
        <v>-70253.897819221835</v>
      </c>
    </row>
    <row r="342" spans="1:3">
      <c r="A342" s="6">
        <v>311</v>
      </c>
      <c r="B342" s="6">
        <v>640275.19017343305</v>
      </c>
      <c r="C342" s="6">
        <v>-18597.890173432999</v>
      </c>
    </row>
    <row r="343" spans="1:3">
      <c r="A343" s="6">
        <v>312</v>
      </c>
      <c r="B343" s="6">
        <v>756560.4967168736</v>
      </c>
      <c r="C343" s="6">
        <v>14568.573283126345</v>
      </c>
    </row>
    <row r="344" spans="1:3">
      <c r="A344" s="6">
        <v>313</v>
      </c>
      <c r="B344" s="6">
        <v>701840.63841431704</v>
      </c>
      <c r="C344" s="6">
        <v>211.83158568292856</v>
      </c>
    </row>
    <row r="345" spans="1:3">
      <c r="A345" s="6">
        <v>314</v>
      </c>
      <c r="B345" s="6">
        <v>710487.74105251953</v>
      </c>
      <c r="C345" s="6">
        <v>-22119.281052519567</v>
      </c>
    </row>
    <row r="346" spans="1:3">
      <c r="A346" s="6">
        <v>315</v>
      </c>
      <c r="B346" s="6">
        <v>668351.12960325216</v>
      </c>
      <c r="C346" s="6">
        <v>44024.640396747855</v>
      </c>
    </row>
    <row r="347" spans="1:3">
      <c r="A347" s="6">
        <v>316</v>
      </c>
      <c r="B347" s="6">
        <v>801686.63066269655</v>
      </c>
      <c r="C347" s="6">
        <v>43024.039337303489</v>
      </c>
    </row>
    <row r="348" spans="1:3">
      <c r="A348" s="6">
        <v>317</v>
      </c>
      <c r="B348" s="6">
        <v>665618.60748454195</v>
      </c>
      <c r="C348" s="6">
        <v>-45354.407484541996</v>
      </c>
    </row>
    <row r="349" spans="1:3">
      <c r="A349" s="6">
        <v>318</v>
      </c>
      <c r="B349" s="6">
        <v>548205.98500238464</v>
      </c>
      <c r="C349" s="6">
        <v>-11360.565002384596</v>
      </c>
    </row>
    <row r="350" spans="1:3">
      <c r="A350" s="6">
        <v>319</v>
      </c>
      <c r="B350" s="6">
        <v>742442.15716164163</v>
      </c>
      <c r="C350" s="6">
        <v>-15665.937161641661</v>
      </c>
    </row>
    <row r="351" spans="1:3" ht="14.5" thickBot="1">
      <c r="A351" s="7">
        <v>320</v>
      </c>
      <c r="B351" s="7">
        <v>621344.25318272877</v>
      </c>
      <c r="C351" s="7">
        <v>-61683.413182728807</v>
      </c>
    </row>
    <row r="352" spans="1:3">
      <c r="A352" s="6"/>
      <c r="B352" s="6"/>
      <c r="C352" s="6"/>
    </row>
    <row r="353" spans="1:3" ht="14.5" thickBot="1">
      <c r="A353" s="7"/>
      <c r="B353" s="7"/>
      <c r="C353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1"/>
  <sheetViews>
    <sheetView workbookViewId="0">
      <selection activeCell="D11" sqref="D11"/>
    </sheetView>
  </sheetViews>
  <sheetFormatPr defaultRowHeight="14"/>
  <cols>
    <col min="1" max="12" width="16" customWidth="1"/>
  </cols>
  <sheetData>
    <row r="1" spans="1:12">
      <c r="A1" s="1" t="s">
        <v>4</v>
      </c>
      <c r="B1" s="1" t="s">
        <v>5</v>
      </c>
      <c r="C1" s="1" t="s">
        <v>6</v>
      </c>
      <c r="D1" s="1" t="s">
        <v>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/>
      <c r="L1" s="1" t="s">
        <v>12</v>
      </c>
    </row>
    <row r="2" spans="1:12">
      <c r="A2" s="2">
        <v>70389.11</v>
      </c>
      <c r="B2" s="2">
        <v>8302</v>
      </c>
      <c r="C2" s="2">
        <v>4.2000000000000003E-2</v>
      </c>
      <c r="D2" s="2">
        <v>17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1</v>
      </c>
      <c r="K2" s="2"/>
      <c r="L2" s="2">
        <v>658832.62</v>
      </c>
    </row>
    <row r="3" spans="1:12">
      <c r="A3" s="2">
        <v>43827.89</v>
      </c>
      <c r="B3" s="2">
        <v>8487</v>
      </c>
      <c r="C3" s="2">
        <v>0.16800000000000001</v>
      </c>
      <c r="D3" s="2">
        <v>23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1</v>
      </c>
      <c r="K3" s="2"/>
      <c r="L3" s="2">
        <v>634436</v>
      </c>
    </row>
    <row r="4" spans="1:12">
      <c r="A4" s="2">
        <v>59921.75</v>
      </c>
      <c r="B4" s="2">
        <v>9113</v>
      </c>
      <c r="C4" s="2">
        <v>0.13300000000000001</v>
      </c>
      <c r="D4" s="2">
        <v>20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1</v>
      </c>
      <c r="K4" s="2"/>
      <c r="L4" s="2">
        <v>678722.06</v>
      </c>
    </row>
    <row r="5" spans="1:12">
      <c r="A5" s="2">
        <v>56856.63</v>
      </c>
      <c r="B5" s="2">
        <v>9431</v>
      </c>
      <c r="C5" s="2">
        <v>0.14199999999999999</v>
      </c>
      <c r="D5" s="2">
        <v>23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1</v>
      </c>
      <c r="K5" s="2"/>
      <c r="L5" s="2">
        <v>658920.30000000005</v>
      </c>
    </row>
    <row r="6" spans="1:12">
      <c r="A6" s="2">
        <v>48412.639999999999</v>
      </c>
      <c r="B6" s="2">
        <v>9545</v>
      </c>
      <c r="C6" s="2">
        <v>0.23100000000000001</v>
      </c>
      <c r="D6" s="2">
        <v>21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/>
      <c r="L6" s="2">
        <v>741341.44</v>
      </c>
    </row>
    <row r="7" spans="1:12">
      <c r="A7" s="2">
        <v>64811.21</v>
      </c>
      <c r="B7" s="2">
        <v>9792</v>
      </c>
      <c r="C7" s="2">
        <v>0.112</v>
      </c>
      <c r="D7" s="2">
        <v>20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/>
      <c r="L7" s="2">
        <v>761835.34</v>
      </c>
    </row>
    <row r="8" spans="1:12">
      <c r="A8" s="2">
        <v>46213.45</v>
      </c>
      <c r="B8" s="2">
        <v>10616</v>
      </c>
      <c r="C8" s="2">
        <v>0.122</v>
      </c>
      <c r="D8" s="2">
        <v>22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/>
      <c r="L8" s="2">
        <v>806615.54</v>
      </c>
    </row>
    <row r="9" spans="1:12">
      <c r="A9" s="2">
        <v>68148.52</v>
      </c>
      <c r="B9" s="2">
        <v>8567</v>
      </c>
      <c r="C9" s="2">
        <v>0.127</v>
      </c>
      <c r="D9" s="2">
        <v>23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/>
      <c r="L9" s="2">
        <v>850164.26</v>
      </c>
    </row>
    <row r="10" spans="1:12">
      <c r="A10" s="2">
        <v>71838.86</v>
      </c>
      <c r="B10" s="2">
        <v>10979</v>
      </c>
      <c r="C10" s="2">
        <v>0.215</v>
      </c>
      <c r="D10" s="2">
        <v>26</v>
      </c>
      <c r="E10" s="2">
        <v>1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/>
      <c r="L10" s="2">
        <v>930581.7</v>
      </c>
    </row>
    <row r="11" spans="1:12">
      <c r="A11" s="2">
        <v>68133.440000000002</v>
      </c>
      <c r="B11" s="2">
        <v>9459</v>
      </c>
      <c r="C11" s="2">
        <v>0.22</v>
      </c>
      <c r="D11" s="2">
        <v>21</v>
      </c>
      <c r="E11" s="2">
        <v>1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/>
      <c r="L11" s="2">
        <v>779010.94</v>
      </c>
    </row>
    <row r="12" spans="1:12">
      <c r="A12" s="2">
        <v>34285.21</v>
      </c>
      <c r="B12" s="2">
        <v>9172</v>
      </c>
      <c r="C12" s="2">
        <v>0.21299999999999999</v>
      </c>
      <c r="D12" s="2">
        <v>22</v>
      </c>
      <c r="E12" s="2">
        <v>1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/>
      <c r="L12" s="2">
        <v>723060.76</v>
      </c>
    </row>
    <row r="13" spans="1:12">
      <c r="A13" s="2">
        <v>67979.88</v>
      </c>
      <c r="B13" s="2">
        <v>11230</v>
      </c>
      <c r="C13" s="2">
        <v>2E-3</v>
      </c>
      <c r="D13" s="2">
        <v>28</v>
      </c>
      <c r="E13" s="2">
        <v>1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/>
      <c r="L13" s="2">
        <v>910791.94</v>
      </c>
    </row>
    <row r="14" spans="1:12">
      <c r="A14" s="2">
        <v>71828.259999999995</v>
      </c>
      <c r="B14" s="2">
        <v>12775</v>
      </c>
      <c r="C14" s="2">
        <v>0.11600000000000001</v>
      </c>
      <c r="D14" s="2">
        <v>30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/>
      <c r="L14" s="2">
        <v>922168.6</v>
      </c>
    </row>
    <row r="15" spans="1:12">
      <c r="A15" s="2">
        <v>55716.82</v>
      </c>
      <c r="B15" s="2">
        <v>10054</v>
      </c>
      <c r="C15" s="2">
        <v>0.14599999999999999</v>
      </c>
      <c r="D15" s="2">
        <v>24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/>
      <c r="L15" s="2">
        <v>726606.28</v>
      </c>
    </row>
    <row r="16" spans="1:12">
      <c r="A16" s="2">
        <v>59909.51</v>
      </c>
      <c r="B16" s="2">
        <v>8895</v>
      </c>
      <c r="C16" s="2">
        <v>0.22800000000000001</v>
      </c>
      <c r="D16" s="2">
        <v>23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</v>
      </c>
      <c r="K16" s="2"/>
      <c r="L16" s="2">
        <v>746501.09</v>
      </c>
    </row>
    <row r="17" spans="1:12">
      <c r="A17" s="2">
        <v>75305.710000000006</v>
      </c>
      <c r="B17" s="2">
        <v>10940</v>
      </c>
      <c r="C17" s="2">
        <v>6.0000000000000001E-3</v>
      </c>
      <c r="D17" s="2">
        <v>26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1</v>
      </c>
      <c r="K17" s="2"/>
      <c r="L17" s="2">
        <v>834017.02</v>
      </c>
    </row>
    <row r="18" spans="1:12">
      <c r="A18" s="2">
        <v>48804.22</v>
      </c>
      <c r="B18" s="2">
        <v>7057</v>
      </c>
      <c r="C18" s="2">
        <v>5.0000000000000001E-3</v>
      </c>
      <c r="D18" s="2">
        <v>15</v>
      </c>
      <c r="E18" s="2">
        <v>0</v>
      </c>
      <c r="F18" s="2">
        <v>1</v>
      </c>
      <c r="G18" s="2">
        <v>0</v>
      </c>
      <c r="H18" s="2">
        <v>0</v>
      </c>
      <c r="I18" s="2">
        <v>0</v>
      </c>
      <c r="J18" s="2">
        <v>1</v>
      </c>
      <c r="K18" s="2"/>
      <c r="L18" s="2">
        <v>666152.52</v>
      </c>
    </row>
    <row r="19" spans="1:12">
      <c r="A19" s="2">
        <v>59117.9</v>
      </c>
      <c r="B19" s="2">
        <v>4263</v>
      </c>
      <c r="C19" s="2">
        <v>0.11899999999999999</v>
      </c>
      <c r="D19" s="2">
        <v>9</v>
      </c>
      <c r="E19" s="2">
        <v>0</v>
      </c>
      <c r="F19" s="2">
        <v>1</v>
      </c>
      <c r="G19" s="2">
        <v>0</v>
      </c>
      <c r="H19" s="2">
        <v>0</v>
      </c>
      <c r="I19" s="2">
        <v>0</v>
      </c>
      <c r="J19" s="2">
        <v>1</v>
      </c>
      <c r="K19" s="2"/>
      <c r="L19" s="2">
        <v>573155.18999999994</v>
      </c>
    </row>
    <row r="20" spans="1:12">
      <c r="A20" s="2">
        <v>78831.12</v>
      </c>
      <c r="B20" s="2">
        <v>5538</v>
      </c>
      <c r="C20" s="2">
        <v>0</v>
      </c>
      <c r="D20" s="2">
        <v>15</v>
      </c>
      <c r="E20" s="2">
        <v>0</v>
      </c>
      <c r="F20" s="2">
        <v>1</v>
      </c>
      <c r="G20" s="2">
        <v>0</v>
      </c>
      <c r="H20" s="2">
        <v>0</v>
      </c>
      <c r="I20" s="2">
        <v>0</v>
      </c>
      <c r="J20" s="2">
        <v>1</v>
      </c>
      <c r="K20" s="2"/>
      <c r="L20" s="2">
        <v>666573.19999999995</v>
      </c>
    </row>
    <row r="21" spans="1:12">
      <c r="A21" s="2">
        <v>41441.93</v>
      </c>
      <c r="B21" s="2">
        <v>4865</v>
      </c>
      <c r="C21" s="2">
        <v>0.158</v>
      </c>
      <c r="D21" s="2">
        <v>16</v>
      </c>
      <c r="E21" s="2">
        <v>0</v>
      </c>
      <c r="F21" s="2">
        <v>1</v>
      </c>
      <c r="G21" s="2">
        <v>0</v>
      </c>
      <c r="H21" s="2">
        <v>0</v>
      </c>
      <c r="I21" s="2">
        <v>0</v>
      </c>
      <c r="J21" s="2">
        <v>1</v>
      </c>
      <c r="K21" s="2"/>
      <c r="L21" s="2">
        <v>591619.94999999995</v>
      </c>
    </row>
    <row r="22" spans="1:12">
      <c r="A22" s="2">
        <v>30356.28</v>
      </c>
      <c r="B22" s="2">
        <v>2822</v>
      </c>
      <c r="C22" s="2">
        <v>0.23100000000000001</v>
      </c>
      <c r="D22" s="2">
        <v>9</v>
      </c>
      <c r="E22" s="2">
        <v>1</v>
      </c>
      <c r="F22" s="2">
        <v>0</v>
      </c>
      <c r="G22" s="2">
        <v>0</v>
      </c>
      <c r="H22" s="2">
        <v>0</v>
      </c>
      <c r="I22" s="2">
        <v>0</v>
      </c>
      <c r="J22" s="2">
        <v>1</v>
      </c>
      <c r="K22" s="2"/>
      <c r="L22" s="2">
        <v>415721.82</v>
      </c>
    </row>
    <row r="23" spans="1:12">
      <c r="A23" s="2">
        <v>33518.879999999997</v>
      </c>
      <c r="B23" s="2">
        <v>2121</v>
      </c>
      <c r="C23" s="2">
        <v>0.17599999999999999</v>
      </c>
      <c r="D23" s="2">
        <v>8</v>
      </c>
      <c r="E23" s="2">
        <v>1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/>
      <c r="L23" s="2">
        <v>491905.13</v>
      </c>
    </row>
    <row r="24" spans="1:12">
      <c r="A24" s="2">
        <v>42267.37</v>
      </c>
      <c r="B24" s="2">
        <v>3364</v>
      </c>
      <c r="C24" s="2">
        <v>0.16</v>
      </c>
      <c r="D24" s="2">
        <v>13</v>
      </c>
      <c r="E24" s="2">
        <v>1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/>
      <c r="L24" s="2">
        <v>555929.4</v>
      </c>
    </row>
    <row r="25" spans="1:12">
      <c r="A25" s="2">
        <v>62060.43</v>
      </c>
      <c r="B25" s="2">
        <v>2613</v>
      </c>
      <c r="C25" s="2">
        <v>0.216</v>
      </c>
      <c r="D25" s="2">
        <v>12</v>
      </c>
      <c r="E25" s="2">
        <v>1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/>
      <c r="L25" s="2">
        <v>565810.99</v>
      </c>
    </row>
    <row r="26" spans="1:12">
      <c r="A26" s="2">
        <v>57696.69</v>
      </c>
      <c r="B26" s="2">
        <v>10218</v>
      </c>
      <c r="C26" s="2">
        <v>0.121</v>
      </c>
      <c r="D26" s="2">
        <v>25</v>
      </c>
      <c r="E26" s="2">
        <v>0</v>
      </c>
      <c r="F26" s="2">
        <v>0</v>
      </c>
      <c r="G26" s="2">
        <v>1</v>
      </c>
      <c r="H26" s="2">
        <v>0</v>
      </c>
      <c r="I26" s="2">
        <v>1</v>
      </c>
      <c r="J26" s="2">
        <v>0</v>
      </c>
      <c r="K26" s="2"/>
      <c r="L26" s="2">
        <v>811771.14</v>
      </c>
    </row>
    <row r="27" spans="1:12">
      <c r="A27" s="2">
        <v>172415.52</v>
      </c>
      <c r="B27" s="2">
        <v>8927</v>
      </c>
      <c r="C27" s="2">
        <v>0.14000000000000001</v>
      </c>
      <c r="D27" s="2">
        <v>22</v>
      </c>
      <c r="E27" s="2">
        <v>0</v>
      </c>
      <c r="F27" s="2">
        <v>0</v>
      </c>
      <c r="G27" s="2">
        <v>1</v>
      </c>
      <c r="H27" s="2">
        <v>0</v>
      </c>
      <c r="I27" s="2">
        <v>1</v>
      </c>
      <c r="J27" s="2">
        <v>0</v>
      </c>
      <c r="K27" s="2"/>
      <c r="L27" s="2">
        <v>800451.94</v>
      </c>
    </row>
    <row r="28" spans="1:12">
      <c r="A28" s="2">
        <v>55270.52</v>
      </c>
      <c r="B28" s="2">
        <v>9315</v>
      </c>
      <c r="C28" s="2">
        <v>0.16900000000000001</v>
      </c>
      <c r="D28" s="2">
        <v>23</v>
      </c>
      <c r="E28" s="2">
        <v>0</v>
      </c>
      <c r="F28" s="2">
        <v>0</v>
      </c>
      <c r="G28" s="2">
        <v>1</v>
      </c>
      <c r="H28" s="2">
        <v>0</v>
      </c>
      <c r="I28" s="2">
        <v>1</v>
      </c>
      <c r="J28" s="2">
        <v>0</v>
      </c>
      <c r="K28" s="2"/>
      <c r="L28" s="2">
        <v>783672.82</v>
      </c>
    </row>
    <row r="29" spans="1:12">
      <c r="A29" s="2">
        <v>52715.1</v>
      </c>
      <c r="B29" s="2">
        <v>7223</v>
      </c>
      <c r="C29" s="2">
        <v>0.122</v>
      </c>
      <c r="D29" s="2">
        <v>16</v>
      </c>
      <c r="E29" s="2">
        <v>0</v>
      </c>
      <c r="F29" s="2">
        <v>0</v>
      </c>
      <c r="G29" s="2">
        <v>1</v>
      </c>
      <c r="H29" s="2">
        <v>0</v>
      </c>
      <c r="I29" s="2">
        <v>1</v>
      </c>
      <c r="J29" s="2">
        <v>0</v>
      </c>
      <c r="K29" s="2"/>
      <c r="L29" s="2">
        <v>701641.97</v>
      </c>
    </row>
    <row r="30" spans="1:12">
      <c r="A30" s="2">
        <v>68600.62</v>
      </c>
      <c r="B30" s="2">
        <v>3988</v>
      </c>
      <c r="C30" s="2">
        <v>0.124</v>
      </c>
      <c r="D30" s="2">
        <v>11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/>
      <c r="L30" s="2">
        <v>511844.41</v>
      </c>
    </row>
    <row r="31" spans="1:12">
      <c r="A31" s="2">
        <v>63176.73</v>
      </c>
      <c r="B31" s="2">
        <v>2390</v>
      </c>
      <c r="C31" s="2">
        <v>0.216</v>
      </c>
      <c r="D31" s="2">
        <v>9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1</v>
      </c>
      <c r="K31" s="2"/>
      <c r="L31" s="2">
        <v>537383.79</v>
      </c>
    </row>
    <row r="32" spans="1:12">
      <c r="A32" s="2">
        <v>44970.080000000002</v>
      </c>
      <c r="B32" s="2">
        <v>2471</v>
      </c>
      <c r="C32" s="2">
        <v>0.13600000000000001</v>
      </c>
      <c r="D32" s="2">
        <v>11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1</v>
      </c>
      <c r="K32" s="2"/>
      <c r="L32" s="2">
        <v>500173.02</v>
      </c>
    </row>
    <row r="33" spans="1:12">
      <c r="A33" s="2">
        <v>69816.350000000006</v>
      </c>
      <c r="B33" s="2">
        <v>971</v>
      </c>
      <c r="C33" s="2">
        <v>0.16800000000000001</v>
      </c>
      <c r="D33" s="2">
        <v>5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1</v>
      </c>
      <c r="K33" s="2"/>
      <c r="L33" s="2">
        <v>427917.38</v>
      </c>
    </row>
    <row r="34" spans="1:12">
      <c r="A34" s="2">
        <v>54597.83</v>
      </c>
      <c r="B34" s="2">
        <v>9429</v>
      </c>
      <c r="C34" s="2">
        <v>0.188</v>
      </c>
      <c r="D34" s="2">
        <v>21</v>
      </c>
      <c r="E34" s="2">
        <v>1</v>
      </c>
      <c r="F34" s="2">
        <v>0</v>
      </c>
      <c r="G34" s="2">
        <v>0</v>
      </c>
      <c r="H34" s="2">
        <v>0</v>
      </c>
      <c r="I34" s="2">
        <v>0</v>
      </c>
      <c r="J34" s="2">
        <v>1</v>
      </c>
      <c r="K34" s="2"/>
      <c r="L34" s="2">
        <v>641865.03</v>
      </c>
    </row>
    <row r="35" spans="1:12">
      <c r="A35" s="2">
        <v>73771.91</v>
      </c>
      <c r="B35" s="2">
        <v>11695</v>
      </c>
      <c r="C35" s="2">
        <v>7.0000000000000007E-2</v>
      </c>
      <c r="D35" s="2">
        <v>25</v>
      </c>
      <c r="E35" s="2">
        <v>1</v>
      </c>
      <c r="F35" s="2">
        <v>0</v>
      </c>
      <c r="G35" s="2">
        <v>0</v>
      </c>
      <c r="H35" s="2">
        <v>0</v>
      </c>
      <c r="I35" s="2">
        <v>0</v>
      </c>
      <c r="J35" s="2">
        <v>1</v>
      </c>
      <c r="K35" s="2"/>
      <c r="L35" s="2">
        <v>799477.76000000001</v>
      </c>
    </row>
    <row r="36" spans="1:12">
      <c r="A36" s="2">
        <v>74413.88</v>
      </c>
      <c r="B36" s="2">
        <v>9449</v>
      </c>
      <c r="C36" s="2">
        <v>3.9E-2</v>
      </c>
      <c r="D36" s="2">
        <v>23</v>
      </c>
      <c r="E36" s="2">
        <v>1</v>
      </c>
      <c r="F36" s="2">
        <v>0</v>
      </c>
      <c r="G36" s="2">
        <v>0</v>
      </c>
      <c r="H36" s="2">
        <v>0</v>
      </c>
      <c r="I36" s="2">
        <v>0</v>
      </c>
      <c r="J36" s="2">
        <v>1</v>
      </c>
      <c r="K36" s="2"/>
      <c r="L36" s="2">
        <v>798952.17</v>
      </c>
    </row>
    <row r="37" spans="1:12">
      <c r="A37" s="2">
        <v>52483.77</v>
      </c>
      <c r="B37" s="2">
        <v>10453</v>
      </c>
      <c r="C37" s="2">
        <v>0.247</v>
      </c>
      <c r="D37" s="2">
        <v>25</v>
      </c>
      <c r="E37" s="2">
        <v>1</v>
      </c>
      <c r="F37" s="2">
        <v>0</v>
      </c>
      <c r="G37" s="2">
        <v>0</v>
      </c>
      <c r="H37" s="2">
        <v>0</v>
      </c>
      <c r="I37" s="2">
        <v>0</v>
      </c>
      <c r="J37" s="2">
        <v>1</v>
      </c>
      <c r="K37" s="2"/>
      <c r="L37" s="2">
        <v>800979.78</v>
      </c>
    </row>
    <row r="38" spans="1:12">
      <c r="A38" s="2">
        <v>75269.87</v>
      </c>
      <c r="B38" s="2">
        <v>8838</v>
      </c>
      <c r="C38" s="2">
        <v>9.1999999999999998E-2</v>
      </c>
      <c r="D38" s="2">
        <v>21</v>
      </c>
      <c r="E38" s="2">
        <v>1</v>
      </c>
      <c r="F38" s="2">
        <v>0</v>
      </c>
      <c r="G38" s="2">
        <v>0</v>
      </c>
      <c r="H38" s="2">
        <v>0</v>
      </c>
      <c r="I38" s="2">
        <v>1</v>
      </c>
      <c r="J38" s="2">
        <v>0</v>
      </c>
      <c r="K38" s="2"/>
      <c r="L38" s="2">
        <v>820593.93</v>
      </c>
    </row>
    <row r="39" spans="1:12">
      <c r="A39" s="2">
        <v>61245.41</v>
      </c>
      <c r="B39" s="2">
        <v>8156</v>
      </c>
      <c r="C39" s="2">
        <v>0.156</v>
      </c>
      <c r="D39" s="2">
        <v>19</v>
      </c>
      <c r="E39" s="2">
        <v>1</v>
      </c>
      <c r="F39" s="2">
        <v>0</v>
      </c>
      <c r="G39" s="2">
        <v>0</v>
      </c>
      <c r="H39" s="2">
        <v>0</v>
      </c>
      <c r="I39" s="2">
        <v>1</v>
      </c>
      <c r="J39" s="2">
        <v>0</v>
      </c>
      <c r="K39" s="2"/>
      <c r="L39" s="2">
        <v>718330.53</v>
      </c>
    </row>
    <row r="40" spans="1:12">
      <c r="A40" s="2">
        <v>93381.26</v>
      </c>
      <c r="B40" s="2">
        <v>7562</v>
      </c>
      <c r="C40" s="2">
        <v>0.19800000000000001</v>
      </c>
      <c r="D40" s="2">
        <v>19</v>
      </c>
      <c r="E40" s="2">
        <v>1</v>
      </c>
      <c r="F40" s="2">
        <v>0</v>
      </c>
      <c r="G40" s="2">
        <v>0</v>
      </c>
      <c r="H40" s="2">
        <v>0</v>
      </c>
      <c r="I40" s="2">
        <v>1</v>
      </c>
      <c r="J40" s="2">
        <v>0</v>
      </c>
      <c r="K40" s="2"/>
      <c r="L40" s="2">
        <v>736633.4</v>
      </c>
    </row>
    <row r="41" spans="1:12">
      <c r="A41" s="2">
        <v>65012.19</v>
      </c>
      <c r="B41" s="2">
        <v>9598</v>
      </c>
      <c r="C41" s="2">
        <v>8.5000000000000006E-2</v>
      </c>
      <c r="D41" s="2">
        <v>24</v>
      </c>
      <c r="E41" s="2">
        <v>1</v>
      </c>
      <c r="F41" s="2">
        <v>0</v>
      </c>
      <c r="G41" s="2">
        <v>0</v>
      </c>
      <c r="H41" s="2">
        <v>0</v>
      </c>
      <c r="I41" s="2">
        <v>1</v>
      </c>
      <c r="J41" s="2">
        <v>0</v>
      </c>
      <c r="K41" s="2"/>
      <c r="L41" s="2">
        <v>828623.85</v>
      </c>
    </row>
    <row r="42" spans="1:12">
      <c r="A42" s="2">
        <v>40462.94</v>
      </c>
      <c r="B42" s="2">
        <v>3660</v>
      </c>
      <c r="C42" s="2">
        <v>0.218</v>
      </c>
      <c r="D42" s="2">
        <v>11</v>
      </c>
      <c r="E42" s="2">
        <v>0</v>
      </c>
      <c r="F42" s="2">
        <v>0</v>
      </c>
      <c r="G42" s="2">
        <v>0</v>
      </c>
      <c r="H42" s="2">
        <v>0</v>
      </c>
      <c r="I42" s="2">
        <v>1</v>
      </c>
      <c r="J42" s="2">
        <v>0</v>
      </c>
      <c r="K42" s="2"/>
      <c r="L42" s="2">
        <v>592195.85</v>
      </c>
    </row>
    <row r="43" spans="1:12">
      <c r="A43" s="2">
        <v>46123.88</v>
      </c>
      <c r="B43" s="2">
        <v>3227</v>
      </c>
      <c r="C43" s="2">
        <v>0.14299999999999999</v>
      </c>
      <c r="D43" s="2">
        <v>10</v>
      </c>
      <c r="E43" s="2">
        <v>0</v>
      </c>
      <c r="F43" s="2">
        <v>0</v>
      </c>
      <c r="G43" s="2">
        <v>0</v>
      </c>
      <c r="H43" s="2">
        <v>0</v>
      </c>
      <c r="I43" s="2">
        <v>1</v>
      </c>
      <c r="J43" s="2">
        <v>0</v>
      </c>
      <c r="K43" s="2"/>
      <c r="L43" s="2">
        <v>532644.46</v>
      </c>
    </row>
    <row r="44" spans="1:12">
      <c r="A44" s="2">
        <v>68077.539999999994</v>
      </c>
      <c r="B44" s="2">
        <v>3360</v>
      </c>
      <c r="C44" s="2">
        <v>0.128</v>
      </c>
      <c r="D44" s="2">
        <v>14</v>
      </c>
      <c r="E44" s="2">
        <v>0</v>
      </c>
      <c r="F44" s="2">
        <v>0</v>
      </c>
      <c r="G44" s="2">
        <v>0</v>
      </c>
      <c r="H44" s="2">
        <v>0</v>
      </c>
      <c r="I44" s="2">
        <v>1</v>
      </c>
      <c r="J44" s="2">
        <v>0</v>
      </c>
      <c r="K44" s="2"/>
      <c r="L44" s="2">
        <v>657429.18000000005</v>
      </c>
    </row>
    <row r="45" spans="1:12">
      <c r="A45" s="2">
        <v>64882.14</v>
      </c>
      <c r="B45" s="2">
        <v>3642</v>
      </c>
      <c r="C45" s="2">
        <v>1.9E-2</v>
      </c>
      <c r="D45" s="2">
        <v>13</v>
      </c>
      <c r="E45" s="2">
        <v>0</v>
      </c>
      <c r="F45" s="2">
        <v>0</v>
      </c>
      <c r="G45" s="2">
        <v>0</v>
      </c>
      <c r="H45" s="2">
        <v>0</v>
      </c>
      <c r="I45" s="2">
        <v>1</v>
      </c>
      <c r="J45" s="2">
        <v>0</v>
      </c>
      <c r="K45" s="2"/>
      <c r="L45" s="2">
        <v>605178</v>
      </c>
    </row>
    <row r="46" spans="1:12">
      <c r="A46" s="2">
        <v>138855.51</v>
      </c>
      <c r="B46" s="2">
        <v>5145</v>
      </c>
      <c r="C46" s="2">
        <v>0.06</v>
      </c>
      <c r="D46" s="2">
        <v>17</v>
      </c>
      <c r="E46" s="2">
        <v>0</v>
      </c>
      <c r="F46" s="2">
        <v>0</v>
      </c>
      <c r="G46" s="2">
        <v>1</v>
      </c>
      <c r="H46" s="2">
        <v>0</v>
      </c>
      <c r="I46" s="2">
        <v>0</v>
      </c>
      <c r="J46" s="2">
        <v>1</v>
      </c>
      <c r="K46" s="2"/>
      <c r="L46" s="2">
        <v>595467.6</v>
      </c>
    </row>
    <row r="47" spans="1:12">
      <c r="A47" s="2">
        <v>63630.21</v>
      </c>
      <c r="B47" s="2">
        <v>4460</v>
      </c>
      <c r="C47" s="2">
        <v>0.23499999999999999</v>
      </c>
      <c r="D47" s="2">
        <v>14</v>
      </c>
      <c r="E47" s="2">
        <v>0</v>
      </c>
      <c r="F47" s="2">
        <v>0</v>
      </c>
      <c r="G47" s="2">
        <v>1</v>
      </c>
      <c r="H47" s="2">
        <v>0</v>
      </c>
      <c r="I47" s="2">
        <v>0</v>
      </c>
      <c r="J47" s="2">
        <v>1</v>
      </c>
      <c r="K47" s="2"/>
      <c r="L47" s="2">
        <v>599603.4</v>
      </c>
    </row>
    <row r="48" spans="1:12">
      <c r="A48" s="2">
        <v>50043.65</v>
      </c>
      <c r="B48" s="2">
        <v>3804</v>
      </c>
      <c r="C48" s="2">
        <v>0.113</v>
      </c>
      <c r="D48" s="2">
        <v>11</v>
      </c>
      <c r="E48" s="2">
        <v>0</v>
      </c>
      <c r="F48" s="2">
        <v>0</v>
      </c>
      <c r="G48" s="2">
        <v>1</v>
      </c>
      <c r="H48" s="2">
        <v>0</v>
      </c>
      <c r="I48" s="2">
        <v>0</v>
      </c>
      <c r="J48" s="2">
        <v>1</v>
      </c>
      <c r="K48" s="2"/>
      <c r="L48" s="2">
        <v>614800.09</v>
      </c>
    </row>
    <row r="49" spans="1:12">
      <c r="A49" s="2">
        <v>42093.84</v>
      </c>
      <c r="B49" s="2">
        <v>4074</v>
      </c>
      <c r="C49" s="2">
        <v>0.155</v>
      </c>
      <c r="D49" s="2">
        <v>15</v>
      </c>
      <c r="E49" s="2">
        <v>0</v>
      </c>
      <c r="F49" s="2">
        <v>0</v>
      </c>
      <c r="G49" s="2">
        <v>1</v>
      </c>
      <c r="H49" s="2">
        <v>0</v>
      </c>
      <c r="I49" s="2">
        <v>0</v>
      </c>
      <c r="J49" s="2">
        <v>1</v>
      </c>
      <c r="K49" s="2"/>
      <c r="L49" s="2">
        <v>585365.73</v>
      </c>
    </row>
    <row r="50" spans="1:12">
      <c r="A50" s="2">
        <v>46624.05</v>
      </c>
      <c r="B50" s="2">
        <v>5104</v>
      </c>
      <c r="C50" s="2">
        <v>0.109</v>
      </c>
      <c r="D50" s="2">
        <v>11</v>
      </c>
      <c r="E50" s="2">
        <v>1</v>
      </c>
      <c r="F50" s="2">
        <v>0</v>
      </c>
      <c r="G50" s="2">
        <v>0</v>
      </c>
      <c r="H50" s="2">
        <v>0</v>
      </c>
      <c r="I50" s="2">
        <v>1</v>
      </c>
      <c r="J50" s="2">
        <v>0</v>
      </c>
      <c r="K50" s="2"/>
      <c r="L50" s="2">
        <v>622811.74</v>
      </c>
    </row>
    <row r="51" spans="1:12">
      <c r="A51" s="2">
        <v>49710.29</v>
      </c>
      <c r="B51" s="2">
        <v>5559</v>
      </c>
      <c r="C51" s="2">
        <v>0.218</v>
      </c>
      <c r="D51" s="2">
        <v>14</v>
      </c>
      <c r="E51" s="2">
        <v>1</v>
      </c>
      <c r="F51" s="2">
        <v>0</v>
      </c>
      <c r="G51" s="2">
        <v>0</v>
      </c>
      <c r="H51" s="2">
        <v>0</v>
      </c>
      <c r="I51" s="2">
        <v>1</v>
      </c>
      <c r="J51" s="2">
        <v>0</v>
      </c>
      <c r="K51" s="2"/>
      <c r="L51" s="2">
        <v>603297.56999999995</v>
      </c>
    </row>
    <row r="52" spans="1:12">
      <c r="A52" s="2">
        <v>48287.85</v>
      </c>
      <c r="B52" s="2">
        <v>5150</v>
      </c>
      <c r="C52" s="2">
        <v>8.0000000000000002E-3</v>
      </c>
      <c r="D52" s="2">
        <v>12</v>
      </c>
      <c r="E52" s="2">
        <v>1</v>
      </c>
      <c r="F52" s="2">
        <v>0</v>
      </c>
      <c r="G52" s="2">
        <v>0</v>
      </c>
      <c r="H52" s="2">
        <v>0</v>
      </c>
      <c r="I52" s="2">
        <v>1</v>
      </c>
      <c r="J52" s="2">
        <v>0</v>
      </c>
      <c r="K52" s="2"/>
      <c r="L52" s="2">
        <v>625672.86</v>
      </c>
    </row>
    <row r="53" spans="1:12">
      <c r="A53" s="2">
        <v>65312.49</v>
      </c>
      <c r="B53" s="2">
        <v>7189</v>
      </c>
      <c r="C53" s="2">
        <v>0.05</v>
      </c>
      <c r="D53" s="2">
        <v>19</v>
      </c>
      <c r="E53" s="2">
        <v>1</v>
      </c>
      <c r="F53" s="2">
        <v>0</v>
      </c>
      <c r="G53" s="2">
        <v>0</v>
      </c>
      <c r="H53" s="2">
        <v>0</v>
      </c>
      <c r="I53" s="2">
        <v>1</v>
      </c>
      <c r="J53" s="2">
        <v>0</v>
      </c>
      <c r="K53" s="2"/>
      <c r="L53" s="2">
        <v>773815.14</v>
      </c>
    </row>
    <row r="54" spans="1:12">
      <c r="A54" s="2">
        <v>53015.46</v>
      </c>
      <c r="B54" s="2">
        <v>3279</v>
      </c>
      <c r="C54" s="2">
        <v>8.6999999999999994E-2</v>
      </c>
      <c r="D54" s="2">
        <v>9</v>
      </c>
      <c r="E54" s="2">
        <v>0</v>
      </c>
      <c r="F54" s="2">
        <v>0</v>
      </c>
      <c r="G54" s="2">
        <v>1</v>
      </c>
      <c r="H54" s="2">
        <v>0</v>
      </c>
      <c r="I54" s="2">
        <v>0</v>
      </c>
      <c r="J54" s="2">
        <v>0</v>
      </c>
      <c r="K54" s="2"/>
      <c r="L54" s="2">
        <v>463534.25</v>
      </c>
    </row>
    <row r="55" spans="1:12">
      <c r="A55" s="2">
        <v>99874.01</v>
      </c>
      <c r="B55" s="2">
        <v>5887</v>
      </c>
      <c r="C55" s="2">
        <v>0.26200000000000001</v>
      </c>
      <c r="D55" s="2">
        <v>14</v>
      </c>
      <c r="E55" s="2">
        <v>0</v>
      </c>
      <c r="F55" s="2">
        <v>0</v>
      </c>
      <c r="G55" s="2">
        <v>1</v>
      </c>
      <c r="H55" s="2">
        <v>0</v>
      </c>
      <c r="I55" s="2">
        <v>0</v>
      </c>
      <c r="J55" s="2">
        <v>0</v>
      </c>
      <c r="K55" s="2"/>
      <c r="L55" s="2">
        <v>746677.75</v>
      </c>
    </row>
    <row r="56" spans="1:12">
      <c r="A56" s="2">
        <v>81195.5</v>
      </c>
      <c r="B56" s="2">
        <v>5516</v>
      </c>
      <c r="C56" s="2">
        <v>0.106</v>
      </c>
      <c r="D56" s="2">
        <v>14</v>
      </c>
      <c r="E56" s="2">
        <v>0</v>
      </c>
      <c r="F56" s="2">
        <v>0</v>
      </c>
      <c r="G56" s="2">
        <v>1</v>
      </c>
      <c r="H56" s="2">
        <v>0</v>
      </c>
      <c r="I56" s="2">
        <v>0</v>
      </c>
      <c r="J56" s="2">
        <v>0</v>
      </c>
      <c r="K56" s="2"/>
      <c r="L56" s="2">
        <v>720852.5</v>
      </c>
    </row>
    <row r="57" spans="1:12">
      <c r="A57" s="2">
        <v>27808.6</v>
      </c>
      <c r="B57" s="2">
        <v>2863</v>
      </c>
      <c r="C57" s="2">
        <v>0.08</v>
      </c>
      <c r="D57" s="2">
        <v>13</v>
      </c>
      <c r="E57" s="2">
        <v>0</v>
      </c>
      <c r="F57" s="2">
        <v>0</v>
      </c>
      <c r="G57" s="2">
        <v>1</v>
      </c>
      <c r="H57" s="2">
        <v>0</v>
      </c>
      <c r="I57" s="2">
        <v>0</v>
      </c>
      <c r="J57" s="2">
        <v>0</v>
      </c>
      <c r="K57" s="2"/>
      <c r="L57" s="2">
        <v>487464.91</v>
      </c>
    </row>
    <row r="58" spans="1:12">
      <c r="A58" s="2">
        <v>19365.060000000001</v>
      </c>
      <c r="B58" s="2">
        <v>2378</v>
      </c>
      <c r="C58" s="2">
        <v>0</v>
      </c>
      <c r="D58" s="2">
        <v>12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/>
      <c r="L58" s="2">
        <v>518049.26</v>
      </c>
    </row>
    <row r="59" spans="1:12">
      <c r="A59" s="2">
        <v>59405.68</v>
      </c>
      <c r="B59" s="2">
        <v>2515</v>
      </c>
      <c r="C59" s="2">
        <v>3.9E-2</v>
      </c>
      <c r="D59" s="2">
        <v>12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/>
      <c r="L59" s="2">
        <v>500298.48</v>
      </c>
    </row>
    <row r="60" spans="1:12">
      <c r="A60" s="2">
        <v>118910.48</v>
      </c>
      <c r="B60" s="2">
        <v>4022</v>
      </c>
      <c r="C60" s="2">
        <v>0.13700000000000001</v>
      </c>
      <c r="D60" s="2">
        <v>11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/>
      <c r="L60" s="2">
        <v>617291.15</v>
      </c>
    </row>
    <row r="61" spans="1:12">
      <c r="A61" s="2">
        <v>52952.12</v>
      </c>
      <c r="B61" s="2">
        <v>4377</v>
      </c>
      <c r="C61" s="2">
        <v>9.1999999999999998E-2</v>
      </c>
      <c r="D61" s="2">
        <v>14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/>
      <c r="L61" s="2">
        <v>553756.43000000005</v>
      </c>
    </row>
    <row r="62" spans="1:12">
      <c r="A62" s="2">
        <v>74907.98</v>
      </c>
      <c r="B62" s="2">
        <v>5306</v>
      </c>
      <c r="C62" s="2">
        <v>6.2E-2</v>
      </c>
      <c r="D62" s="2">
        <v>16</v>
      </c>
      <c r="E62" s="2">
        <v>0</v>
      </c>
      <c r="F62" s="2">
        <v>1</v>
      </c>
      <c r="G62" s="2">
        <v>0</v>
      </c>
      <c r="H62" s="2">
        <v>0</v>
      </c>
      <c r="I62" s="2">
        <v>0</v>
      </c>
      <c r="J62" s="2">
        <v>0</v>
      </c>
      <c r="K62" s="2"/>
      <c r="L62" s="2">
        <v>749559.71</v>
      </c>
    </row>
    <row r="63" spans="1:12">
      <c r="A63" s="2">
        <v>37284.660000000003</v>
      </c>
      <c r="B63" s="2">
        <v>3928</v>
      </c>
      <c r="C63" s="2">
        <v>7.3999999999999996E-2</v>
      </c>
      <c r="D63" s="2">
        <v>12</v>
      </c>
      <c r="E63" s="2">
        <v>0</v>
      </c>
      <c r="F63" s="2">
        <v>1</v>
      </c>
      <c r="G63" s="2">
        <v>0</v>
      </c>
      <c r="H63" s="2">
        <v>0</v>
      </c>
      <c r="I63" s="2">
        <v>0</v>
      </c>
      <c r="J63" s="2">
        <v>0</v>
      </c>
      <c r="K63" s="2"/>
      <c r="L63" s="2">
        <v>615966.48</v>
      </c>
    </row>
    <row r="64" spans="1:12">
      <c r="A64" s="2">
        <v>50343.19</v>
      </c>
      <c r="B64" s="2">
        <v>3845</v>
      </c>
      <c r="C64" s="2">
        <v>0.113</v>
      </c>
      <c r="D64" s="2">
        <v>9</v>
      </c>
      <c r="E64" s="2">
        <v>0</v>
      </c>
      <c r="F64" s="2">
        <v>1</v>
      </c>
      <c r="G64" s="2">
        <v>0</v>
      </c>
      <c r="H64" s="2">
        <v>0</v>
      </c>
      <c r="I64" s="2">
        <v>0</v>
      </c>
      <c r="J64" s="2">
        <v>0</v>
      </c>
      <c r="K64" s="2"/>
      <c r="L64" s="2">
        <v>572011.19999999995</v>
      </c>
    </row>
    <row r="65" spans="1:12">
      <c r="A65" s="2">
        <v>74954.47</v>
      </c>
      <c r="B65" s="2">
        <v>6620</v>
      </c>
      <c r="C65" s="2">
        <v>5.3999999999999999E-2</v>
      </c>
      <c r="D65" s="2">
        <v>17</v>
      </c>
      <c r="E65" s="2">
        <v>0</v>
      </c>
      <c r="F65" s="2">
        <v>1</v>
      </c>
      <c r="G65" s="2">
        <v>0</v>
      </c>
      <c r="H65" s="2">
        <v>0</v>
      </c>
      <c r="I65" s="2">
        <v>0</v>
      </c>
      <c r="J65" s="2">
        <v>0</v>
      </c>
      <c r="K65" s="2"/>
      <c r="L65" s="2">
        <v>761860.19</v>
      </c>
    </row>
    <row r="66" spans="1:12">
      <c r="A66" s="2">
        <v>70040.31</v>
      </c>
      <c r="B66" s="2">
        <v>9175</v>
      </c>
      <c r="C66" s="2">
        <v>0.107</v>
      </c>
      <c r="D66" s="2">
        <v>23</v>
      </c>
      <c r="E66" s="2">
        <v>0</v>
      </c>
      <c r="F66" s="2">
        <v>0</v>
      </c>
      <c r="G66" s="2">
        <v>1</v>
      </c>
      <c r="H66" s="2">
        <v>0</v>
      </c>
      <c r="I66" s="2">
        <v>0</v>
      </c>
      <c r="J66" s="2">
        <v>0</v>
      </c>
      <c r="K66" s="2"/>
      <c r="L66" s="2">
        <v>784502.68</v>
      </c>
    </row>
    <row r="67" spans="1:12">
      <c r="A67" s="2">
        <v>51148.69</v>
      </c>
      <c r="B67" s="2">
        <v>7940</v>
      </c>
      <c r="C67" s="2">
        <v>0.156</v>
      </c>
      <c r="D67" s="2">
        <v>18</v>
      </c>
      <c r="E67" s="2">
        <v>0</v>
      </c>
      <c r="F67" s="2">
        <v>0</v>
      </c>
      <c r="G67" s="2">
        <v>1</v>
      </c>
      <c r="H67" s="2">
        <v>0</v>
      </c>
      <c r="I67" s="2">
        <v>0</v>
      </c>
      <c r="J67" s="2">
        <v>0</v>
      </c>
      <c r="K67" s="2"/>
      <c r="L67" s="2">
        <v>717141.55</v>
      </c>
    </row>
    <row r="68" spans="1:12">
      <c r="A68" s="2">
        <v>79346.100000000006</v>
      </c>
      <c r="B68" s="2">
        <v>9628</v>
      </c>
      <c r="C68" s="2">
        <v>0.10199999999999999</v>
      </c>
      <c r="D68" s="2">
        <v>20</v>
      </c>
      <c r="E68" s="2">
        <v>0</v>
      </c>
      <c r="F68" s="2">
        <v>0</v>
      </c>
      <c r="G68" s="2">
        <v>1</v>
      </c>
      <c r="H68" s="2">
        <v>0</v>
      </c>
      <c r="I68" s="2">
        <v>0</v>
      </c>
      <c r="J68" s="2">
        <v>0</v>
      </c>
      <c r="K68" s="2"/>
      <c r="L68" s="2">
        <v>685379.08</v>
      </c>
    </row>
    <row r="69" spans="1:12">
      <c r="A69" s="2">
        <v>42018.400000000001</v>
      </c>
      <c r="B69" s="2">
        <v>8296</v>
      </c>
      <c r="C69" s="2">
        <v>0.115</v>
      </c>
      <c r="D69" s="2">
        <v>17</v>
      </c>
      <c r="E69" s="2">
        <v>0</v>
      </c>
      <c r="F69" s="2">
        <v>0</v>
      </c>
      <c r="G69" s="2">
        <v>1</v>
      </c>
      <c r="H69" s="2">
        <v>0</v>
      </c>
      <c r="I69" s="2">
        <v>0</v>
      </c>
      <c r="J69" s="2">
        <v>0</v>
      </c>
      <c r="K69" s="2"/>
      <c r="L69" s="2">
        <v>740496.65</v>
      </c>
    </row>
    <row r="70" spans="1:12">
      <c r="A70" s="2">
        <v>70937.240000000005</v>
      </c>
      <c r="B70" s="2">
        <v>3595</v>
      </c>
      <c r="C70" s="2">
        <v>0.14099999999999999</v>
      </c>
      <c r="D70" s="2">
        <v>11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/>
      <c r="L70" s="2">
        <v>661927.14</v>
      </c>
    </row>
    <row r="71" spans="1:12">
      <c r="A71" s="2">
        <v>36813.449999999997</v>
      </c>
      <c r="B71" s="2">
        <v>2834</v>
      </c>
      <c r="C71" s="2">
        <v>0.191</v>
      </c>
      <c r="D71" s="2">
        <v>11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/>
      <c r="L71" s="2">
        <v>479050.5</v>
      </c>
    </row>
    <row r="72" spans="1:12">
      <c r="A72" s="2">
        <v>60571.82</v>
      </c>
      <c r="B72" s="2">
        <v>3193</v>
      </c>
      <c r="C72" s="2">
        <v>0.19700000000000001</v>
      </c>
      <c r="D72" s="2">
        <v>7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/>
      <c r="L72" s="2">
        <v>605023.87</v>
      </c>
    </row>
    <row r="73" spans="1:12">
      <c r="A73" s="2">
        <v>55081.16</v>
      </c>
      <c r="B73" s="2">
        <v>5485</v>
      </c>
      <c r="C73" s="2">
        <v>3.5999999999999997E-2</v>
      </c>
      <c r="D73" s="2">
        <v>12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/>
      <c r="L73" s="2">
        <v>674774.09</v>
      </c>
    </row>
    <row r="74" spans="1:12">
      <c r="A74" s="2">
        <v>46201.46</v>
      </c>
      <c r="B74" s="2">
        <v>5918</v>
      </c>
      <c r="C74" s="2">
        <v>0.27700000000000002</v>
      </c>
      <c r="D74" s="2">
        <v>13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1</v>
      </c>
      <c r="K74" s="2"/>
      <c r="L74" s="2">
        <v>616069.41</v>
      </c>
    </row>
    <row r="75" spans="1:12">
      <c r="A75" s="2">
        <v>53762.92</v>
      </c>
      <c r="B75" s="2">
        <v>6821</v>
      </c>
      <c r="C75" s="2">
        <v>6.6000000000000003E-2</v>
      </c>
      <c r="D75" s="2">
        <v>19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1</v>
      </c>
      <c r="K75" s="2"/>
      <c r="L75" s="2">
        <v>630829.93999999994</v>
      </c>
    </row>
    <row r="76" spans="1:12">
      <c r="A76" s="2">
        <v>70144.78</v>
      </c>
      <c r="B76" s="2">
        <v>6806</v>
      </c>
      <c r="C76" s="2">
        <v>0.17799999999999999</v>
      </c>
      <c r="D76" s="2">
        <v>20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1</v>
      </c>
      <c r="K76" s="2"/>
      <c r="L76" s="2">
        <v>788087.68</v>
      </c>
    </row>
    <row r="77" spans="1:12">
      <c r="A77" s="2">
        <v>58749.63</v>
      </c>
      <c r="B77" s="2">
        <v>8252</v>
      </c>
      <c r="C77" s="2">
        <v>0.20300000000000001</v>
      </c>
      <c r="D77" s="2">
        <v>20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1</v>
      </c>
      <c r="K77" s="2"/>
      <c r="L77" s="2">
        <v>680840.36</v>
      </c>
    </row>
    <row r="78" spans="1:12">
      <c r="A78" s="2">
        <v>56973.18</v>
      </c>
      <c r="B78" s="2">
        <v>6662</v>
      </c>
      <c r="C78" s="2">
        <v>0.1</v>
      </c>
      <c r="D78" s="2">
        <v>15</v>
      </c>
      <c r="E78" s="2">
        <v>0</v>
      </c>
      <c r="F78" s="2">
        <v>1</v>
      </c>
      <c r="G78" s="2">
        <v>0</v>
      </c>
      <c r="H78" s="2">
        <v>0</v>
      </c>
      <c r="I78" s="2">
        <v>0</v>
      </c>
      <c r="J78" s="2">
        <v>0</v>
      </c>
      <c r="K78" s="2"/>
      <c r="L78" s="2">
        <v>643657.47</v>
      </c>
    </row>
    <row r="79" spans="1:12">
      <c r="A79" s="2">
        <v>54872.82</v>
      </c>
      <c r="B79" s="2">
        <v>5962</v>
      </c>
      <c r="C79" s="2">
        <v>6.4000000000000001E-2</v>
      </c>
      <c r="D79" s="2">
        <v>12</v>
      </c>
      <c r="E79" s="2">
        <v>0</v>
      </c>
      <c r="F79" s="2">
        <v>1</v>
      </c>
      <c r="G79" s="2">
        <v>0</v>
      </c>
      <c r="H79" s="2">
        <v>0</v>
      </c>
      <c r="I79" s="2">
        <v>0</v>
      </c>
      <c r="J79" s="2">
        <v>0</v>
      </c>
      <c r="K79" s="2"/>
      <c r="L79" s="2">
        <v>691112.6</v>
      </c>
    </row>
    <row r="80" spans="1:12">
      <c r="A80" s="2">
        <v>80562.81</v>
      </c>
      <c r="B80" s="2">
        <v>7470</v>
      </c>
      <c r="C80" s="2">
        <v>0.17199999999999999</v>
      </c>
      <c r="D80" s="2">
        <v>16</v>
      </c>
      <c r="E80" s="2">
        <v>0</v>
      </c>
      <c r="F80" s="2">
        <v>1</v>
      </c>
      <c r="G80" s="2">
        <v>0</v>
      </c>
      <c r="H80" s="2">
        <v>0</v>
      </c>
      <c r="I80" s="2">
        <v>0</v>
      </c>
      <c r="J80" s="2">
        <v>0</v>
      </c>
      <c r="K80" s="2"/>
      <c r="L80" s="2">
        <v>776922.17</v>
      </c>
    </row>
    <row r="81" spans="1:12">
      <c r="A81" s="2">
        <v>77999.899999999994</v>
      </c>
      <c r="B81" s="2">
        <v>5974</v>
      </c>
      <c r="C81" s="2">
        <v>0.252</v>
      </c>
      <c r="D81" s="2">
        <v>14</v>
      </c>
      <c r="E81" s="2">
        <v>0</v>
      </c>
      <c r="F81" s="2">
        <v>1</v>
      </c>
      <c r="G81" s="2">
        <v>0</v>
      </c>
      <c r="H81" s="2">
        <v>0</v>
      </c>
      <c r="I81" s="2">
        <v>0</v>
      </c>
      <c r="J81" s="2">
        <v>0</v>
      </c>
      <c r="K81" s="2"/>
      <c r="L81" s="2">
        <v>636561.34</v>
      </c>
    </row>
    <row r="82" spans="1:12">
      <c r="A82" s="2">
        <v>60881.01</v>
      </c>
      <c r="B82" s="2">
        <v>5410</v>
      </c>
      <c r="C82" s="2">
        <v>0.17899999999999999</v>
      </c>
      <c r="D82" s="2">
        <v>15</v>
      </c>
      <c r="E82" s="2">
        <v>0</v>
      </c>
      <c r="F82" s="2">
        <v>0</v>
      </c>
      <c r="G82" s="2">
        <v>1</v>
      </c>
      <c r="H82" s="2">
        <v>0</v>
      </c>
      <c r="I82" s="2">
        <v>1</v>
      </c>
      <c r="J82" s="2">
        <v>0</v>
      </c>
      <c r="K82" s="2"/>
      <c r="L82" s="2">
        <v>621369.57999999996</v>
      </c>
    </row>
    <row r="83" spans="1:12">
      <c r="A83" s="2">
        <v>60628.38</v>
      </c>
      <c r="B83" s="2">
        <v>4451</v>
      </c>
      <c r="C83" s="2">
        <v>9.5000000000000001E-2</v>
      </c>
      <c r="D83" s="2">
        <v>10</v>
      </c>
      <c r="E83" s="2">
        <v>0</v>
      </c>
      <c r="F83" s="2">
        <v>0</v>
      </c>
      <c r="G83" s="2">
        <v>1</v>
      </c>
      <c r="H83" s="2">
        <v>0</v>
      </c>
      <c r="I83" s="2">
        <v>1</v>
      </c>
      <c r="J83" s="2">
        <v>0</v>
      </c>
      <c r="K83" s="2"/>
      <c r="L83" s="2">
        <v>682208.01</v>
      </c>
    </row>
    <row r="84" spans="1:12">
      <c r="A84" s="2">
        <v>72731.14</v>
      </c>
      <c r="B84" s="2">
        <v>4644</v>
      </c>
      <c r="C84" s="2">
        <v>8.4000000000000005E-2</v>
      </c>
      <c r="D84" s="2">
        <v>15</v>
      </c>
      <c r="E84" s="2">
        <v>0</v>
      </c>
      <c r="F84" s="2">
        <v>0</v>
      </c>
      <c r="G84" s="2">
        <v>1</v>
      </c>
      <c r="H84" s="2">
        <v>0</v>
      </c>
      <c r="I84" s="2">
        <v>1</v>
      </c>
      <c r="J84" s="2">
        <v>0</v>
      </c>
      <c r="K84" s="2"/>
      <c r="L84" s="2">
        <v>727241.86</v>
      </c>
    </row>
    <row r="85" spans="1:12">
      <c r="A85" s="2">
        <v>36475.71</v>
      </c>
      <c r="B85" s="2">
        <v>3559</v>
      </c>
      <c r="C85" s="2">
        <v>0.03</v>
      </c>
      <c r="D85" s="2">
        <v>8</v>
      </c>
      <c r="E85" s="2">
        <v>0</v>
      </c>
      <c r="F85" s="2">
        <v>0</v>
      </c>
      <c r="G85" s="2">
        <v>1</v>
      </c>
      <c r="H85" s="2">
        <v>0</v>
      </c>
      <c r="I85" s="2">
        <v>1</v>
      </c>
      <c r="J85" s="2">
        <v>0</v>
      </c>
      <c r="K85" s="2"/>
      <c r="L85" s="2">
        <v>569100.78</v>
      </c>
    </row>
    <row r="86" spans="1:12">
      <c r="A86" s="2">
        <v>55388.11</v>
      </c>
      <c r="B86" s="2">
        <v>3091</v>
      </c>
      <c r="C86" s="2">
        <v>0.108</v>
      </c>
      <c r="D86" s="2">
        <v>7</v>
      </c>
      <c r="E86" s="2">
        <v>0</v>
      </c>
      <c r="F86" s="2">
        <v>0</v>
      </c>
      <c r="G86" s="2">
        <v>1</v>
      </c>
      <c r="H86" s="2">
        <v>0</v>
      </c>
      <c r="I86" s="2">
        <v>0</v>
      </c>
      <c r="J86" s="2">
        <v>0</v>
      </c>
      <c r="K86" s="2"/>
      <c r="L86" s="2">
        <v>574436.29</v>
      </c>
    </row>
    <row r="87" spans="1:12">
      <c r="A87" s="2">
        <v>88443.77</v>
      </c>
      <c r="B87" s="2">
        <v>4004</v>
      </c>
      <c r="C87" s="2">
        <v>0.20599999999999999</v>
      </c>
      <c r="D87" s="2">
        <v>11</v>
      </c>
      <c r="E87" s="2">
        <v>0</v>
      </c>
      <c r="F87" s="2">
        <v>0</v>
      </c>
      <c r="G87" s="2">
        <v>1</v>
      </c>
      <c r="H87" s="2">
        <v>0</v>
      </c>
      <c r="I87" s="2">
        <v>0</v>
      </c>
      <c r="J87" s="2">
        <v>0</v>
      </c>
      <c r="K87" s="2"/>
      <c r="L87" s="2">
        <v>611766.72</v>
      </c>
    </row>
    <row r="88" spans="1:12">
      <c r="A88" s="2">
        <v>78231.91</v>
      </c>
      <c r="B88" s="2">
        <v>3788</v>
      </c>
      <c r="C88" s="2">
        <v>5.8999999999999997E-2</v>
      </c>
      <c r="D88" s="2">
        <v>11</v>
      </c>
      <c r="E88" s="2">
        <v>0</v>
      </c>
      <c r="F88" s="2">
        <v>0</v>
      </c>
      <c r="G88" s="2">
        <v>1</v>
      </c>
      <c r="H88" s="2">
        <v>0</v>
      </c>
      <c r="I88" s="2">
        <v>0</v>
      </c>
      <c r="J88" s="2">
        <v>0</v>
      </c>
      <c r="K88" s="2"/>
      <c r="L88" s="2">
        <v>614596.31999999995</v>
      </c>
    </row>
    <row r="89" spans="1:12">
      <c r="A89" s="2">
        <v>18996.32</v>
      </c>
      <c r="B89" s="2">
        <v>1260</v>
      </c>
      <c r="C89" s="2">
        <v>0.14499999999999999</v>
      </c>
      <c r="D89" s="2">
        <v>9</v>
      </c>
      <c r="E89" s="2">
        <v>0</v>
      </c>
      <c r="F89" s="2">
        <v>0</v>
      </c>
      <c r="G89" s="2">
        <v>1</v>
      </c>
      <c r="H89" s="2">
        <v>0</v>
      </c>
      <c r="I89" s="2">
        <v>0</v>
      </c>
      <c r="J89" s="2">
        <v>0</v>
      </c>
      <c r="K89" s="2"/>
      <c r="L89" s="2">
        <v>450711.92</v>
      </c>
    </row>
    <row r="90" spans="1:12">
      <c r="A90" s="2">
        <v>50517.94</v>
      </c>
      <c r="B90" s="2">
        <v>7024</v>
      </c>
      <c r="C90" s="2">
        <v>2.9000000000000001E-2</v>
      </c>
      <c r="D90" s="2">
        <v>18</v>
      </c>
      <c r="E90" s="2">
        <v>0</v>
      </c>
      <c r="F90" s="2">
        <v>1</v>
      </c>
      <c r="G90" s="2">
        <v>0</v>
      </c>
      <c r="H90" s="2">
        <v>0</v>
      </c>
      <c r="I90" s="2">
        <v>1</v>
      </c>
      <c r="J90" s="2">
        <v>0</v>
      </c>
      <c r="K90" s="2"/>
      <c r="L90" s="2">
        <v>711213.46</v>
      </c>
    </row>
    <row r="91" spans="1:12">
      <c r="A91" s="2">
        <v>141540.29</v>
      </c>
      <c r="B91" s="2">
        <v>5400</v>
      </c>
      <c r="C91" s="2">
        <v>1.2999999999999999E-2</v>
      </c>
      <c r="D91" s="2">
        <v>12</v>
      </c>
      <c r="E91" s="2">
        <v>0</v>
      </c>
      <c r="F91" s="2">
        <v>1</v>
      </c>
      <c r="G91" s="2">
        <v>0</v>
      </c>
      <c r="H91" s="2">
        <v>0</v>
      </c>
      <c r="I91" s="2">
        <v>1</v>
      </c>
      <c r="J91" s="2">
        <v>0</v>
      </c>
      <c r="K91" s="2"/>
      <c r="L91" s="2">
        <v>627171.9</v>
      </c>
    </row>
    <row r="92" spans="1:12">
      <c r="A92" s="2">
        <v>82116.19</v>
      </c>
      <c r="B92" s="2">
        <v>5988</v>
      </c>
      <c r="C92" s="2">
        <v>0.04</v>
      </c>
      <c r="D92" s="2">
        <v>17</v>
      </c>
      <c r="E92" s="2">
        <v>0</v>
      </c>
      <c r="F92" s="2">
        <v>1</v>
      </c>
      <c r="G92" s="2">
        <v>0</v>
      </c>
      <c r="H92" s="2">
        <v>0</v>
      </c>
      <c r="I92" s="2">
        <v>1</v>
      </c>
      <c r="J92" s="2">
        <v>0</v>
      </c>
      <c r="K92" s="2"/>
      <c r="L92" s="2">
        <v>739852.58</v>
      </c>
    </row>
    <row r="93" spans="1:12">
      <c r="A93" s="2">
        <v>31207.51</v>
      </c>
      <c r="B93" s="2">
        <v>3701</v>
      </c>
      <c r="C93" s="2">
        <v>4.2999999999999997E-2</v>
      </c>
      <c r="D93" s="2">
        <v>11</v>
      </c>
      <c r="E93" s="2">
        <v>0</v>
      </c>
      <c r="F93" s="2">
        <v>1</v>
      </c>
      <c r="G93" s="2">
        <v>0</v>
      </c>
      <c r="H93" s="2">
        <v>0</v>
      </c>
      <c r="I93" s="2">
        <v>1</v>
      </c>
      <c r="J93" s="2">
        <v>0</v>
      </c>
      <c r="K93" s="2"/>
      <c r="L93" s="2">
        <v>586307.22</v>
      </c>
    </row>
    <row r="94" spans="1:12">
      <c r="A94" s="2">
        <v>38966.589999999997</v>
      </c>
      <c r="B94" s="2">
        <v>4509</v>
      </c>
      <c r="C94" s="2">
        <v>0.19400000000000001</v>
      </c>
      <c r="D94" s="2">
        <v>14</v>
      </c>
      <c r="E94" s="2">
        <v>0</v>
      </c>
      <c r="F94" s="2">
        <v>0</v>
      </c>
      <c r="G94" s="2">
        <v>1</v>
      </c>
      <c r="H94" s="2">
        <v>0</v>
      </c>
      <c r="I94" s="2">
        <v>0</v>
      </c>
      <c r="J94" s="2">
        <v>1</v>
      </c>
      <c r="K94" s="2"/>
      <c r="L94" s="2">
        <v>585937.48</v>
      </c>
    </row>
    <row r="95" spans="1:12">
      <c r="A95" s="2">
        <v>67439.3</v>
      </c>
      <c r="B95" s="2">
        <v>6477</v>
      </c>
      <c r="C95" s="2">
        <v>0</v>
      </c>
      <c r="D95" s="2">
        <v>16</v>
      </c>
      <c r="E95" s="2">
        <v>0</v>
      </c>
      <c r="F95" s="2">
        <v>0</v>
      </c>
      <c r="G95" s="2">
        <v>1</v>
      </c>
      <c r="H95" s="2">
        <v>0</v>
      </c>
      <c r="I95" s="2">
        <v>0</v>
      </c>
      <c r="J95" s="2">
        <v>1</v>
      </c>
      <c r="K95" s="2"/>
      <c r="L95" s="2">
        <v>753473.55</v>
      </c>
    </row>
    <row r="96" spans="1:12">
      <c r="A96" s="2">
        <v>86421.88</v>
      </c>
      <c r="B96" s="2">
        <v>7970</v>
      </c>
      <c r="C96" s="2">
        <v>7.2999999999999995E-2</v>
      </c>
      <c r="D96" s="2">
        <v>17</v>
      </c>
      <c r="E96" s="2">
        <v>0</v>
      </c>
      <c r="F96" s="2">
        <v>0</v>
      </c>
      <c r="G96" s="2">
        <v>1</v>
      </c>
      <c r="H96" s="2">
        <v>0</v>
      </c>
      <c r="I96" s="2">
        <v>0</v>
      </c>
      <c r="J96" s="2">
        <v>1</v>
      </c>
      <c r="K96" s="2"/>
      <c r="L96" s="2">
        <v>838250.32</v>
      </c>
    </row>
    <row r="97" spans="1:12">
      <c r="A97" s="2">
        <v>9534.65</v>
      </c>
      <c r="B97" s="2">
        <v>6057</v>
      </c>
      <c r="C97" s="2">
        <v>7.3999999999999996E-2</v>
      </c>
      <c r="D97" s="2">
        <v>15</v>
      </c>
      <c r="E97" s="2">
        <v>0</v>
      </c>
      <c r="F97" s="2">
        <v>0</v>
      </c>
      <c r="G97" s="2">
        <v>1</v>
      </c>
      <c r="H97" s="2">
        <v>0</v>
      </c>
      <c r="I97" s="2">
        <v>0</v>
      </c>
      <c r="J97" s="2">
        <v>1</v>
      </c>
      <c r="K97" s="2"/>
      <c r="L97" s="2">
        <v>607898.12</v>
      </c>
    </row>
    <row r="98" spans="1:12">
      <c r="A98" s="2">
        <v>61132.07</v>
      </c>
      <c r="B98" s="2">
        <v>6394</v>
      </c>
      <c r="C98" s="2">
        <v>0.16300000000000001</v>
      </c>
      <c r="D98" s="2">
        <v>19</v>
      </c>
      <c r="E98" s="2">
        <v>0</v>
      </c>
      <c r="F98" s="2">
        <v>0</v>
      </c>
      <c r="G98" s="2">
        <v>1</v>
      </c>
      <c r="H98" s="2">
        <v>0</v>
      </c>
      <c r="I98" s="2">
        <v>1</v>
      </c>
      <c r="J98" s="2">
        <v>0</v>
      </c>
      <c r="K98" s="2"/>
      <c r="L98" s="2">
        <v>691113.62</v>
      </c>
    </row>
    <row r="99" spans="1:12">
      <c r="A99" s="2">
        <v>78839.39</v>
      </c>
      <c r="B99" s="2">
        <v>5150</v>
      </c>
      <c r="C99" s="2">
        <v>0.17100000000000001</v>
      </c>
      <c r="D99" s="2">
        <v>13</v>
      </c>
      <c r="E99" s="2">
        <v>0</v>
      </c>
      <c r="F99" s="2">
        <v>0</v>
      </c>
      <c r="G99" s="2">
        <v>1</v>
      </c>
      <c r="H99" s="2">
        <v>0</v>
      </c>
      <c r="I99" s="2">
        <v>1</v>
      </c>
      <c r="J99" s="2">
        <v>0</v>
      </c>
      <c r="K99" s="2"/>
      <c r="L99" s="2">
        <v>735509.4</v>
      </c>
    </row>
    <row r="100" spans="1:12">
      <c r="A100" s="2">
        <v>38752.800000000003</v>
      </c>
      <c r="B100" s="2">
        <v>4712</v>
      </c>
      <c r="C100" s="2">
        <v>7.4999999999999997E-2</v>
      </c>
      <c r="D100" s="2">
        <v>15</v>
      </c>
      <c r="E100" s="2">
        <v>0</v>
      </c>
      <c r="F100" s="2">
        <v>0</v>
      </c>
      <c r="G100" s="2">
        <v>1</v>
      </c>
      <c r="H100" s="2">
        <v>0</v>
      </c>
      <c r="I100" s="2">
        <v>1</v>
      </c>
      <c r="J100" s="2">
        <v>0</v>
      </c>
      <c r="K100" s="2"/>
      <c r="L100" s="2">
        <v>605775.32999999996</v>
      </c>
    </row>
    <row r="101" spans="1:12">
      <c r="A101" s="2">
        <v>55101.1</v>
      </c>
      <c r="B101" s="2">
        <v>5281</v>
      </c>
      <c r="C101" s="2">
        <v>0.189</v>
      </c>
      <c r="D101" s="2">
        <v>11</v>
      </c>
      <c r="E101" s="2">
        <v>0</v>
      </c>
      <c r="F101" s="2">
        <v>0</v>
      </c>
      <c r="G101" s="2">
        <v>1</v>
      </c>
      <c r="H101" s="2">
        <v>0</v>
      </c>
      <c r="I101" s="2">
        <v>1</v>
      </c>
      <c r="J101" s="2">
        <v>0</v>
      </c>
      <c r="K101" s="2"/>
      <c r="L101" s="2">
        <v>675177.68</v>
      </c>
    </row>
    <row r="102" spans="1:12">
      <c r="A102" s="2">
        <v>53084.76</v>
      </c>
      <c r="B102" s="2">
        <v>3642</v>
      </c>
      <c r="C102" s="2">
        <v>0.15</v>
      </c>
      <c r="D102" s="2">
        <v>12</v>
      </c>
      <c r="E102" s="2">
        <v>0</v>
      </c>
      <c r="F102" s="2">
        <v>0</v>
      </c>
      <c r="G102" s="2">
        <v>0</v>
      </c>
      <c r="H102" s="2">
        <v>0</v>
      </c>
      <c r="I102" s="2">
        <v>1</v>
      </c>
      <c r="J102" s="2">
        <v>0</v>
      </c>
      <c r="K102" s="2"/>
      <c r="L102" s="2">
        <v>635181.35</v>
      </c>
    </row>
    <row r="103" spans="1:12">
      <c r="A103" s="2">
        <v>63101.59</v>
      </c>
      <c r="B103" s="2">
        <v>4373</v>
      </c>
      <c r="C103" s="2">
        <v>0.17299999999999999</v>
      </c>
      <c r="D103" s="2">
        <v>14</v>
      </c>
      <c r="E103" s="2">
        <v>0</v>
      </c>
      <c r="F103" s="2">
        <v>0</v>
      </c>
      <c r="G103" s="2">
        <v>0</v>
      </c>
      <c r="H103" s="2">
        <v>0</v>
      </c>
      <c r="I103" s="2">
        <v>1</v>
      </c>
      <c r="J103" s="2">
        <v>0</v>
      </c>
      <c r="K103" s="2"/>
      <c r="L103" s="2">
        <v>586626.93999999994</v>
      </c>
    </row>
    <row r="104" spans="1:12">
      <c r="A104" s="2">
        <v>90084.4</v>
      </c>
      <c r="B104" s="2">
        <v>6832</v>
      </c>
      <c r="C104" s="2">
        <v>0.185</v>
      </c>
      <c r="D104" s="2">
        <v>14</v>
      </c>
      <c r="E104" s="2">
        <v>0</v>
      </c>
      <c r="F104" s="2">
        <v>0</v>
      </c>
      <c r="G104" s="2">
        <v>0</v>
      </c>
      <c r="H104" s="2">
        <v>0</v>
      </c>
      <c r="I104" s="2">
        <v>1</v>
      </c>
      <c r="J104" s="2">
        <v>0</v>
      </c>
      <c r="K104" s="2"/>
      <c r="L104" s="2">
        <v>740102.64</v>
      </c>
    </row>
    <row r="105" spans="1:12">
      <c r="A105" s="2">
        <v>32266.639999999999</v>
      </c>
      <c r="B105" s="2">
        <v>2414</v>
      </c>
      <c r="C105" s="2">
        <v>0.08</v>
      </c>
      <c r="D105" s="2">
        <v>7</v>
      </c>
      <c r="E105" s="2">
        <v>0</v>
      </c>
      <c r="F105" s="2">
        <v>0</v>
      </c>
      <c r="G105" s="2">
        <v>0</v>
      </c>
      <c r="H105" s="2">
        <v>0</v>
      </c>
      <c r="I105" s="2">
        <v>1</v>
      </c>
      <c r="J105" s="2">
        <v>0</v>
      </c>
      <c r="K105" s="2"/>
      <c r="L105" s="2">
        <v>625514.04</v>
      </c>
    </row>
    <row r="106" spans="1:12">
      <c r="A106" s="2">
        <v>57919.07</v>
      </c>
      <c r="B106" s="2">
        <v>7374</v>
      </c>
      <c r="C106" s="2">
        <v>0.10299999999999999</v>
      </c>
      <c r="D106" s="2">
        <v>21</v>
      </c>
      <c r="E106" s="2">
        <v>0</v>
      </c>
      <c r="F106" s="2">
        <v>0</v>
      </c>
      <c r="G106" s="2">
        <v>1</v>
      </c>
      <c r="H106" s="2">
        <v>0</v>
      </c>
      <c r="I106" s="2">
        <v>0</v>
      </c>
      <c r="J106" s="2">
        <v>0</v>
      </c>
      <c r="K106" s="2"/>
      <c r="L106" s="2">
        <v>727227.2</v>
      </c>
    </row>
    <row r="107" spans="1:12">
      <c r="A107" s="2">
        <v>74679.350000000006</v>
      </c>
      <c r="B107" s="2">
        <v>8739</v>
      </c>
      <c r="C107" s="2">
        <v>5.6000000000000001E-2</v>
      </c>
      <c r="D107" s="2">
        <v>21</v>
      </c>
      <c r="E107" s="2">
        <v>0</v>
      </c>
      <c r="F107" s="2">
        <v>0</v>
      </c>
      <c r="G107" s="2">
        <v>1</v>
      </c>
      <c r="H107" s="2">
        <v>0</v>
      </c>
      <c r="I107" s="2">
        <v>0</v>
      </c>
      <c r="J107" s="2">
        <v>0</v>
      </c>
      <c r="K107" s="2"/>
      <c r="L107" s="2">
        <v>783797.89</v>
      </c>
    </row>
    <row r="108" spans="1:12">
      <c r="A108" s="2">
        <v>64294.23</v>
      </c>
      <c r="B108" s="2">
        <v>6992</v>
      </c>
      <c r="C108" s="2">
        <v>0.13300000000000001</v>
      </c>
      <c r="D108" s="2">
        <v>14</v>
      </c>
      <c r="E108" s="2">
        <v>0</v>
      </c>
      <c r="F108" s="2">
        <v>0</v>
      </c>
      <c r="G108" s="2">
        <v>1</v>
      </c>
      <c r="H108" s="2">
        <v>0</v>
      </c>
      <c r="I108" s="2">
        <v>0</v>
      </c>
      <c r="J108" s="2">
        <v>0</v>
      </c>
      <c r="K108" s="2"/>
      <c r="L108" s="2">
        <v>795153.84</v>
      </c>
    </row>
    <row r="109" spans="1:12">
      <c r="A109" s="2">
        <v>31042.03</v>
      </c>
      <c r="B109" s="2">
        <v>7107</v>
      </c>
      <c r="C109" s="2">
        <v>5.0999999999999997E-2</v>
      </c>
      <c r="D109" s="2">
        <v>15</v>
      </c>
      <c r="E109" s="2">
        <v>0</v>
      </c>
      <c r="F109" s="2">
        <v>0</v>
      </c>
      <c r="G109" s="2">
        <v>1</v>
      </c>
      <c r="H109" s="2">
        <v>0</v>
      </c>
      <c r="I109" s="2">
        <v>0</v>
      </c>
      <c r="J109" s="2">
        <v>0</v>
      </c>
      <c r="K109" s="2"/>
      <c r="L109" s="2">
        <v>665594.93999999994</v>
      </c>
    </row>
    <row r="110" spans="1:12">
      <c r="A110" s="2">
        <v>75265.02</v>
      </c>
      <c r="B110" s="2">
        <v>6975</v>
      </c>
      <c r="C110" s="2">
        <v>0.157</v>
      </c>
      <c r="D110" s="2">
        <v>20</v>
      </c>
      <c r="E110" s="2">
        <v>0</v>
      </c>
      <c r="F110" s="2">
        <v>0</v>
      </c>
      <c r="G110" s="2">
        <v>0</v>
      </c>
      <c r="H110" s="2">
        <v>0</v>
      </c>
      <c r="I110" s="2">
        <v>1</v>
      </c>
      <c r="J110" s="2">
        <v>0</v>
      </c>
      <c r="K110" s="2"/>
      <c r="L110" s="2">
        <v>709478.39</v>
      </c>
    </row>
    <row r="111" spans="1:12">
      <c r="A111" s="2">
        <v>69411.7</v>
      </c>
      <c r="B111" s="2">
        <v>5493</v>
      </c>
      <c r="C111" s="2">
        <v>0.29199999999999998</v>
      </c>
      <c r="D111" s="2">
        <v>13</v>
      </c>
      <c r="E111" s="2">
        <v>0</v>
      </c>
      <c r="F111" s="2">
        <v>0</v>
      </c>
      <c r="G111" s="2">
        <v>0</v>
      </c>
      <c r="H111" s="2">
        <v>0</v>
      </c>
      <c r="I111" s="2">
        <v>1</v>
      </c>
      <c r="J111" s="2">
        <v>0</v>
      </c>
      <c r="K111" s="2"/>
      <c r="L111" s="2">
        <v>664162.49</v>
      </c>
    </row>
    <row r="112" spans="1:12">
      <c r="A112" s="2">
        <v>51056.15</v>
      </c>
      <c r="B112" s="2">
        <v>5686</v>
      </c>
      <c r="C112" s="2">
        <v>8.8999999999999996E-2</v>
      </c>
      <c r="D112" s="2">
        <v>13</v>
      </c>
      <c r="E112" s="2">
        <v>0</v>
      </c>
      <c r="F112" s="2">
        <v>0</v>
      </c>
      <c r="G112" s="2">
        <v>0</v>
      </c>
      <c r="H112" s="2">
        <v>0</v>
      </c>
      <c r="I112" s="2">
        <v>1</v>
      </c>
      <c r="J112" s="2">
        <v>0</v>
      </c>
      <c r="K112" s="2"/>
      <c r="L112" s="2">
        <v>633494.21</v>
      </c>
    </row>
    <row r="113" spans="1:12">
      <c r="A113" s="2">
        <v>52758.01</v>
      </c>
      <c r="B113" s="2">
        <v>4063</v>
      </c>
      <c r="C113" s="2">
        <v>5.7000000000000002E-2</v>
      </c>
      <c r="D113" s="2">
        <v>12</v>
      </c>
      <c r="E113" s="2">
        <v>0</v>
      </c>
      <c r="F113" s="2">
        <v>0</v>
      </c>
      <c r="G113" s="2">
        <v>0</v>
      </c>
      <c r="H113" s="2">
        <v>0</v>
      </c>
      <c r="I113" s="2">
        <v>1</v>
      </c>
      <c r="J113" s="2">
        <v>0</v>
      </c>
      <c r="K113" s="2"/>
      <c r="L113" s="2">
        <v>713611.16</v>
      </c>
    </row>
    <row r="114" spans="1:12">
      <c r="A114" s="2">
        <v>61426.04</v>
      </c>
      <c r="B114" s="2">
        <v>8966</v>
      </c>
      <c r="C114" s="2">
        <v>0.17299999999999999</v>
      </c>
      <c r="D114" s="2">
        <v>22</v>
      </c>
      <c r="E114" s="2">
        <v>0</v>
      </c>
      <c r="F114" s="2">
        <v>0</v>
      </c>
      <c r="G114" s="2">
        <v>1</v>
      </c>
      <c r="H114" s="2">
        <v>0</v>
      </c>
      <c r="I114" s="2">
        <v>1</v>
      </c>
      <c r="J114" s="2">
        <v>0</v>
      </c>
      <c r="K114" s="2"/>
      <c r="L114" s="2">
        <v>778397.97</v>
      </c>
    </row>
    <row r="115" spans="1:12">
      <c r="A115" s="2">
        <v>80176.34</v>
      </c>
      <c r="B115" s="2">
        <v>9489</v>
      </c>
      <c r="C115" s="2">
        <v>0.14199999999999999</v>
      </c>
      <c r="D115" s="2">
        <v>22</v>
      </c>
      <c r="E115" s="2">
        <v>0</v>
      </c>
      <c r="F115" s="2">
        <v>0</v>
      </c>
      <c r="G115" s="2">
        <v>1</v>
      </c>
      <c r="H115" s="2">
        <v>0</v>
      </c>
      <c r="I115" s="2">
        <v>1</v>
      </c>
      <c r="J115" s="2">
        <v>0</v>
      </c>
      <c r="K115" s="2"/>
      <c r="L115" s="2">
        <v>873380.02</v>
      </c>
    </row>
    <row r="116" spans="1:12">
      <c r="A116" s="2">
        <v>33605.18</v>
      </c>
      <c r="B116" s="2">
        <v>9225</v>
      </c>
      <c r="C116" s="2">
        <v>0.159</v>
      </c>
      <c r="D116" s="2">
        <v>23</v>
      </c>
      <c r="E116" s="2">
        <v>0</v>
      </c>
      <c r="F116" s="2">
        <v>0</v>
      </c>
      <c r="G116" s="2">
        <v>1</v>
      </c>
      <c r="H116" s="2">
        <v>0</v>
      </c>
      <c r="I116" s="2">
        <v>1</v>
      </c>
      <c r="J116" s="2">
        <v>0</v>
      </c>
      <c r="K116" s="2"/>
      <c r="L116" s="2">
        <v>697287.9</v>
      </c>
    </row>
    <row r="117" spans="1:12">
      <c r="A117" s="2">
        <v>25990.54</v>
      </c>
      <c r="B117" s="2">
        <v>9249</v>
      </c>
      <c r="C117" s="2">
        <v>0.13900000000000001</v>
      </c>
      <c r="D117" s="2">
        <v>23</v>
      </c>
      <c r="E117" s="2">
        <v>0</v>
      </c>
      <c r="F117" s="2">
        <v>0</v>
      </c>
      <c r="G117" s="2">
        <v>1</v>
      </c>
      <c r="H117" s="2">
        <v>0</v>
      </c>
      <c r="I117" s="2">
        <v>1</v>
      </c>
      <c r="J117" s="2">
        <v>0</v>
      </c>
      <c r="K117" s="2"/>
      <c r="L117" s="2">
        <v>718074.79</v>
      </c>
    </row>
    <row r="118" spans="1:12">
      <c r="A118" s="2">
        <v>43685.14</v>
      </c>
      <c r="B118" s="2">
        <v>7821</v>
      </c>
      <c r="C118" s="2">
        <v>0.19</v>
      </c>
      <c r="D118" s="2">
        <v>17</v>
      </c>
      <c r="E118" s="2">
        <v>0</v>
      </c>
      <c r="F118" s="2">
        <v>0</v>
      </c>
      <c r="G118" s="2">
        <v>1</v>
      </c>
      <c r="H118" s="2">
        <v>0</v>
      </c>
      <c r="I118" s="2">
        <v>0</v>
      </c>
      <c r="J118" s="2">
        <v>1</v>
      </c>
      <c r="K118" s="2"/>
      <c r="L118" s="2">
        <v>714942.43</v>
      </c>
    </row>
    <row r="119" spans="1:12">
      <c r="A119" s="2">
        <v>57360.01</v>
      </c>
      <c r="B119" s="2">
        <v>8434</v>
      </c>
      <c r="C119" s="2">
        <v>0.151</v>
      </c>
      <c r="D119" s="2">
        <v>19</v>
      </c>
      <c r="E119" s="2">
        <v>0</v>
      </c>
      <c r="F119" s="2">
        <v>0</v>
      </c>
      <c r="G119" s="2">
        <v>1</v>
      </c>
      <c r="H119" s="2">
        <v>0</v>
      </c>
      <c r="I119" s="2">
        <v>0</v>
      </c>
      <c r="J119" s="2">
        <v>1</v>
      </c>
      <c r="K119" s="2"/>
      <c r="L119" s="2">
        <v>820519.04</v>
      </c>
    </row>
    <row r="120" spans="1:12">
      <c r="A120" s="2">
        <v>42415.47</v>
      </c>
      <c r="B120" s="2">
        <v>8512</v>
      </c>
      <c r="C120" s="2">
        <v>0.13300000000000001</v>
      </c>
      <c r="D120" s="2">
        <v>18</v>
      </c>
      <c r="E120" s="2">
        <v>0</v>
      </c>
      <c r="F120" s="2">
        <v>0</v>
      </c>
      <c r="G120" s="2">
        <v>1</v>
      </c>
      <c r="H120" s="2">
        <v>0</v>
      </c>
      <c r="I120" s="2">
        <v>0</v>
      </c>
      <c r="J120" s="2">
        <v>1</v>
      </c>
      <c r="K120" s="2"/>
      <c r="L120" s="2">
        <v>684217.32</v>
      </c>
    </row>
    <row r="121" spans="1:12">
      <c r="A121" s="2">
        <v>54968.98</v>
      </c>
      <c r="B121" s="2">
        <v>7816</v>
      </c>
      <c r="C121" s="2">
        <v>0.23200000000000001</v>
      </c>
      <c r="D121" s="2">
        <v>19</v>
      </c>
      <c r="E121" s="2">
        <v>0</v>
      </c>
      <c r="F121" s="2">
        <v>0</v>
      </c>
      <c r="G121" s="2">
        <v>1</v>
      </c>
      <c r="H121" s="2">
        <v>0</v>
      </c>
      <c r="I121" s="2">
        <v>0</v>
      </c>
      <c r="J121" s="2">
        <v>1</v>
      </c>
      <c r="K121" s="2"/>
      <c r="L121" s="2">
        <v>735480.19</v>
      </c>
    </row>
    <row r="122" spans="1:12">
      <c r="A122" s="2">
        <v>43896.13</v>
      </c>
      <c r="B122" s="2">
        <v>3853</v>
      </c>
      <c r="C122" s="2">
        <v>8.7999999999999995E-2</v>
      </c>
      <c r="D122" s="2">
        <v>13</v>
      </c>
      <c r="E122" s="2">
        <v>1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/>
      <c r="L122" s="2">
        <v>509484.81</v>
      </c>
    </row>
    <row r="123" spans="1:12">
      <c r="A123" s="2">
        <v>83044.17</v>
      </c>
      <c r="B123" s="2">
        <v>3694</v>
      </c>
      <c r="C123" s="2">
        <v>0</v>
      </c>
      <c r="D123" s="2">
        <v>14</v>
      </c>
      <c r="E123" s="2">
        <v>1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/>
      <c r="L123" s="2">
        <v>654317.09</v>
      </c>
    </row>
    <row r="124" spans="1:12">
      <c r="A124" s="2">
        <v>48396.13</v>
      </c>
      <c r="B124" s="2">
        <v>4423</v>
      </c>
      <c r="C124" s="2">
        <v>6.9000000000000006E-2</v>
      </c>
      <c r="D124" s="2">
        <v>15</v>
      </c>
      <c r="E124" s="2">
        <v>1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/>
      <c r="L124" s="2">
        <v>557487.26</v>
      </c>
    </row>
    <row r="125" spans="1:12">
      <c r="A125" s="2">
        <v>19063.48</v>
      </c>
      <c r="B125" s="2">
        <v>1906</v>
      </c>
      <c r="C125" s="2">
        <v>0.216</v>
      </c>
      <c r="D125" s="2">
        <v>10</v>
      </c>
      <c r="E125" s="2">
        <v>1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/>
      <c r="L125" s="2">
        <v>441275.42</v>
      </c>
    </row>
    <row r="126" spans="1:12">
      <c r="A126" s="2">
        <v>61541.21</v>
      </c>
      <c r="B126" s="2">
        <v>10396</v>
      </c>
      <c r="C126" s="2">
        <v>0.123</v>
      </c>
      <c r="D126" s="2">
        <v>25</v>
      </c>
      <c r="E126" s="2">
        <v>0</v>
      </c>
      <c r="F126" s="2">
        <v>1</v>
      </c>
      <c r="G126" s="2">
        <v>0</v>
      </c>
      <c r="H126" s="2">
        <v>0</v>
      </c>
      <c r="I126" s="2">
        <v>0</v>
      </c>
      <c r="J126" s="2">
        <v>0</v>
      </c>
      <c r="K126" s="2"/>
      <c r="L126" s="2">
        <v>914544.17</v>
      </c>
    </row>
    <row r="127" spans="1:12">
      <c r="A127" s="2">
        <v>44747</v>
      </c>
      <c r="B127" s="2">
        <v>11076</v>
      </c>
      <c r="C127" s="2">
        <v>0.17599999999999999</v>
      </c>
      <c r="D127" s="2">
        <v>27</v>
      </c>
      <c r="E127" s="2">
        <v>0</v>
      </c>
      <c r="F127" s="2">
        <v>1</v>
      </c>
      <c r="G127" s="2">
        <v>0</v>
      </c>
      <c r="H127" s="2">
        <v>0</v>
      </c>
      <c r="I127" s="2">
        <v>0</v>
      </c>
      <c r="J127" s="2">
        <v>0</v>
      </c>
      <c r="K127" s="2"/>
      <c r="L127" s="2">
        <v>842439.67</v>
      </c>
    </row>
    <row r="128" spans="1:12">
      <c r="A128" s="2">
        <v>56517.9</v>
      </c>
      <c r="B128" s="2">
        <v>9574</v>
      </c>
      <c r="C128" s="2">
        <v>0.20399999999999999</v>
      </c>
      <c r="D128" s="2">
        <v>20</v>
      </c>
      <c r="E128" s="2">
        <v>0</v>
      </c>
      <c r="F128" s="2">
        <v>1</v>
      </c>
      <c r="G128" s="2">
        <v>0</v>
      </c>
      <c r="H128" s="2">
        <v>0</v>
      </c>
      <c r="I128" s="2">
        <v>0</v>
      </c>
      <c r="J128" s="2">
        <v>0</v>
      </c>
      <c r="K128" s="2"/>
      <c r="L128" s="2">
        <v>842157.92</v>
      </c>
    </row>
    <row r="129" spans="1:12">
      <c r="A129" s="2">
        <v>37828.5</v>
      </c>
      <c r="B129" s="2">
        <v>8221</v>
      </c>
      <c r="C129" s="2">
        <v>9.6000000000000002E-2</v>
      </c>
      <c r="D129" s="2">
        <v>19</v>
      </c>
      <c r="E129" s="2">
        <v>0</v>
      </c>
      <c r="F129" s="2">
        <v>1</v>
      </c>
      <c r="G129" s="2">
        <v>0</v>
      </c>
      <c r="H129" s="2">
        <v>0</v>
      </c>
      <c r="I129" s="2">
        <v>0</v>
      </c>
      <c r="J129" s="2">
        <v>0</v>
      </c>
      <c r="K129" s="2"/>
      <c r="L129" s="2">
        <v>697155.3</v>
      </c>
    </row>
    <row r="130" spans="1:12">
      <c r="A130" s="2">
        <v>66250.53</v>
      </c>
      <c r="B130" s="2">
        <v>10618</v>
      </c>
      <c r="C130" s="2">
        <v>0.14199999999999999</v>
      </c>
      <c r="D130" s="2">
        <v>27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/>
      <c r="L130" s="2">
        <v>849018.3</v>
      </c>
    </row>
    <row r="131" spans="1:12">
      <c r="A131" s="2">
        <v>68410.929999999993</v>
      </c>
      <c r="B131" s="2">
        <v>10596</v>
      </c>
      <c r="C131" s="2">
        <v>0.20699999999999999</v>
      </c>
      <c r="D131" s="2">
        <v>25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/>
      <c r="L131" s="2">
        <v>801830.35</v>
      </c>
    </row>
    <row r="132" spans="1:12">
      <c r="A132" s="2">
        <v>50735.63</v>
      </c>
      <c r="B132" s="2">
        <v>9619</v>
      </c>
      <c r="C132" s="2">
        <v>0.14399999999999999</v>
      </c>
      <c r="D132" s="2">
        <v>19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/>
      <c r="L132" s="2">
        <v>725235.28</v>
      </c>
    </row>
    <row r="133" spans="1:12">
      <c r="A133" s="2">
        <v>66455.8</v>
      </c>
      <c r="B133" s="2">
        <v>10836</v>
      </c>
      <c r="C133" s="2">
        <v>8.8999999999999996E-2</v>
      </c>
      <c r="D133" s="2">
        <v>25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/>
      <c r="L133" s="2">
        <v>811452.72</v>
      </c>
    </row>
    <row r="134" spans="1:12">
      <c r="A134" s="2">
        <v>70276.28</v>
      </c>
      <c r="B134" s="2">
        <v>3043</v>
      </c>
      <c r="C134" s="2">
        <v>7.9000000000000001E-2</v>
      </c>
      <c r="D134" s="2">
        <v>9</v>
      </c>
      <c r="E134" s="2">
        <v>1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/>
      <c r="L134" s="2">
        <v>527300.13</v>
      </c>
    </row>
    <row r="135" spans="1:12">
      <c r="A135" s="2">
        <v>22071.64</v>
      </c>
      <c r="B135" s="2">
        <v>1814</v>
      </c>
      <c r="C135" s="2">
        <v>0.19600000000000001</v>
      </c>
      <c r="D135" s="2">
        <v>8</v>
      </c>
      <c r="E135" s="2">
        <v>1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/>
      <c r="L135" s="2">
        <v>400831.65</v>
      </c>
    </row>
    <row r="136" spans="1:12">
      <c r="A136" s="2">
        <v>52285.45</v>
      </c>
      <c r="B136" s="2">
        <v>3618</v>
      </c>
      <c r="C136" s="2">
        <v>8.5999999999999993E-2</v>
      </c>
      <c r="D136" s="2">
        <v>11</v>
      </c>
      <c r="E136" s="2">
        <v>1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/>
      <c r="L136" s="2">
        <v>593247.25</v>
      </c>
    </row>
    <row r="137" spans="1:12">
      <c r="A137" s="2">
        <v>70366.759999999995</v>
      </c>
      <c r="B137" s="2">
        <v>1963</v>
      </c>
      <c r="C137" s="2">
        <v>0.182</v>
      </c>
      <c r="D137" s="2">
        <v>8</v>
      </c>
      <c r="E137" s="2">
        <v>1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/>
      <c r="L137" s="2">
        <v>529075.94999999995</v>
      </c>
    </row>
    <row r="138" spans="1:12">
      <c r="A138" s="2">
        <v>71320.66</v>
      </c>
      <c r="B138" s="2">
        <v>7888</v>
      </c>
      <c r="C138" s="2">
        <v>4.8000000000000001E-2</v>
      </c>
      <c r="D138" s="2">
        <v>20</v>
      </c>
      <c r="E138" s="2">
        <v>0</v>
      </c>
      <c r="F138" s="2">
        <v>1</v>
      </c>
      <c r="G138" s="2">
        <v>0</v>
      </c>
      <c r="H138" s="2">
        <v>0</v>
      </c>
      <c r="I138" s="2">
        <v>0</v>
      </c>
      <c r="J138" s="2">
        <v>1</v>
      </c>
      <c r="K138" s="2"/>
      <c r="L138" s="2">
        <v>633638.03</v>
      </c>
    </row>
    <row r="139" spans="1:12">
      <c r="A139" s="2">
        <v>75109.67</v>
      </c>
      <c r="B139" s="2">
        <v>6244</v>
      </c>
      <c r="C139" s="2">
        <v>7.9000000000000001E-2</v>
      </c>
      <c r="D139" s="2">
        <v>15</v>
      </c>
      <c r="E139" s="2">
        <v>0</v>
      </c>
      <c r="F139" s="2">
        <v>1</v>
      </c>
      <c r="G139" s="2">
        <v>0</v>
      </c>
      <c r="H139" s="2">
        <v>0</v>
      </c>
      <c r="I139" s="2">
        <v>0</v>
      </c>
      <c r="J139" s="2">
        <v>1</v>
      </c>
      <c r="K139" s="2"/>
      <c r="L139" s="2">
        <v>743348.84</v>
      </c>
    </row>
    <row r="140" spans="1:12">
      <c r="A140" s="2">
        <v>69779</v>
      </c>
      <c r="B140" s="2">
        <v>6544</v>
      </c>
      <c r="C140" s="2">
        <v>0.152</v>
      </c>
      <c r="D140" s="2">
        <v>18</v>
      </c>
      <c r="E140" s="2">
        <v>0</v>
      </c>
      <c r="F140" s="2">
        <v>1</v>
      </c>
      <c r="G140" s="2">
        <v>0</v>
      </c>
      <c r="H140" s="2">
        <v>0</v>
      </c>
      <c r="I140" s="2">
        <v>0</v>
      </c>
      <c r="J140" s="2">
        <v>1</v>
      </c>
      <c r="K140" s="2"/>
      <c r="L140" s="2">
        <v>758827.64</v>
      </c>
    </row>
    <row r="141" spans="1:12">
      <c r="A141" s="2">
        <v>44211.95</v>
      </c>
      <c r="B141" s="2">
        <v>5465</v>
      </c>
      <c r="C141" s="2">
        <v>0.187</v>
      </c>
      <c r="D141" s="2">
        <v>12</v>
      </c>
      <c r="E141" s="2">
        <v>0</v>
      </c>
      <c r="F141" s="2">
        <v>1</v>
      </c>
      <c r="G141" s="2">
        <v>0</v>
      </c>
      <c r="H141" s="2">
        <v>0</v>
      </c>
      <c r="I141" s="2">
        <v>0</v>
      </c>
      <c r="J141" s="2">
        <v>1</v>
      </c>
      <c r="K141" s="2"/>
      <c r="L141" s="2">
        <v>646559.71</v>
      </c>
    </row>
    <row r="142" spans="1:12">
      <c r="A142" s="2">
        <v>51430.31</v>
      </c>
      <c r="B142" s="2">
        <v>6427</v>
      </c>
      <c r="C142" s="2">
        <v>0.23400000000000001</v>
      </c>
      <c r="D142" s="2">
        <v>14</v>
      </c>
      <c r="E142" s="2">
        <v>0</v>
      </c>
      <c r="F142" s="2">
        <v>0</v>
      </c>
      <c r="G142" s="2">
        <v>1</v>
      </c>
      <c r="H142" s="2">
        <v>0</v>
      </c>
      <c r="I142" s="2">
        <v>0</v>
      </c>
      <c r="J142" s="2">
        <v>0</v>
      </c>
      <c r="K142" s="2"/>
      <c r="L142" s="2">
        <v>715890.53</v>
      </c>
    </row>
    <row r="143" spans="1:12">
      <c r="A143" s="2">
        <v>45706.49</v>
      </c>
      <c r="B143" s="2">
        <v>6704</v>
      </c>
      <c r="C143" s="2">
        <v>3.7999999999999999E-2</v>
      </c>
      <c r="D143" s="2">
        <v>15</v>
      </c>
      <c r="E143" s="2">
        <v>0</v>
      </c>
      <c r="F143" s="2">
        <v>0</v>
      </c>
      <c r="G143" s="2">
        <v>1</v>
      </c>
      <c r="H143" s="2">
        <v>0</v>
      </c>
      <c r="I143" s="2">
        <v>0</v>
      </c>
      <c r="J143" s="2">
        <v>0</v>
      </c>
      <c r="K143" s="2"/>
      <c r="L143" s="2">
        <v>715097.57</v>
      </c>
    </row>
    <row r="144" spans="1:12">
      <c r="A144" s="2">
        <v>44034.6</v>
      </c>
      <c r="B144" s="2">
        <v>5645</v>
      </c>
      <c r="C144" s="2">
        <v>6.9000000000000006E-2</v>
      </c>
      <c r="D144" s="2">
        <v>18</v>
      </c>
      <c r="E144" s="2">
        <v>0</v>
      </c>
      <c r="F144" s="2">
        <v>0</v>
      </c>
      <c r="G144" s="2">
        <v>1</v>
      </c>
      <c r="H144" s="2">
        <v>0</v>
      </c>
      <c r="I144" s="2">
        <v>0</v>
      </c>
      <c r="J144" s="2">
        <v>0</v>
      </c>
      <c r="K144" s="2"/>
      <c r="L144" s="2">
        <v>682639.28</v>
      </c>
    </row>
    <row r="145" spans="1:12">
      <c r="A145" s="2">
        <v>50198.12</v>
      </c>
      <c r="B145" s="2">
        <v>6089</v>
      </c>
      <c r="C145" s="2">
        <v>0.182</v>
      </c>
      <c r="D145" s="2">
        <v>19</v>
      </c>
      <c r="E145" s="2">
        <v>0</v>
      </c>
      <c r="F145" s="2">
        <v>0</v>
      </c>
      <c r="G145" s="2">
        <v>1</v>
      </c>
      <c r="H145" s="2">
        <v>0</v>
      </c>
      <c r="I145" s="2">
        <v>0</v>
      </c>
      <c r="J145" s="2">
        <v>0</v>
      </c>
      <c r="K145" s="2"/>
      <c r="L145" s="2">
        <v>695098.51</v>
      </c>
    </row>
    <row r="146" spans="1:12">
      <c r="A146" s="2">
        <v>70488.2</v>
      </c>
      <c r="B146" s="2">
        <v>4312</v>
      </c>
      <c r="C146" s="2">
        <v>0.16900000000000001</v>
      </c>
      <c r="D146" s="2">
        <v>12</v>
      </c>
      <c r="E146" s="2">
        <v>1</v>
      </c>
      <c r="F146" s="2">
        <v>0</v>
      </c>
      <c r="G146" s="2">
        <v>0</v>
      </c>
      <c r="H146" s="2">
        <v>0</v>
      </c>
      <c r="I146" s="2">
        <v>0</v>
      </c>
      <c r="J146" s="2">
        <v>1</v>
      </c>
      <c r="K146" s="2"/>
      <c r="L146" s="2">
        <v>577732.56999999995</v>
      </c>
    </row>
    <row r="147" spans="1:12">
      <c r="A147" s="2">
        <v>50909.27</v>
      </c>
      <c r="B147" s="2">
        <v>3152</v>
      </c>
      <c r="C147" s="2">
        <v>0.06</v>
      </c>
      <c r="D147" s="2">
        <v>13</v>
      </c>
      <c r="E147" s="2">
        <v>1</v>
      </c>
      <c r="F147" s="2">
        <v>0</v>
      </c>
      <c r="G147" s="2">
        <v>0</v>
      </c>
      <c r="H147" s="2">
        <v>0</v>
      </c>
      <c r="I147" s="2">
        <v>0</v>
      </c>
      <c r="J147" s="2">
        <v>1</v>
      </c>
      <c r="K147" s="2"/>
      <c r="L147" s="2">
        <v>537058.32999999996</v>
      </c>
    </row>
    <row r="148" spans="1:12">
      <c r="A148" s="2">
        <v>53351.7</v>
      </c>
      <c r="B148" s="2">
        <v>4259</v>
      </c>
      <c r="C148" s="2">
        <v>0.156</v>
      </c>
      <c r="D148" s="2">
        <v>15</v>
      </c>
      <c r="E148" s="2">
        <v>1</v>
      </c>
      <c r="F148" s="2">
        <v>0</v>
      </c>
      <c r="G148" s="2">
        <v>0</v>
      </c>
      <c r="H148" s="2">
        <v>0</v>
      </c>
      <c r="I148" s="2">
        <v>0</v>
      </c>
      <c r="J148" s="2">
        <v>1</v>
      </c>
      <c r="K148" s="2"/>
      <c r="L148" s="2">
        <v>601568.87</v>
      </c>
    </row>
    <row r="149" spans="1:12">
      <c r="A149" s="2">
        <v>60322.400000000001</v>
      </c>
      <c r="B149" s="2">
        <v>3350</v>
      </c>
      <c r="C149" s="2">
        <v>0.108</v>
      </c>
      <c r="D149" s="2">
        <v>12</v>
      </c>
      <c r="E149" s="2">
        <v>1</v>
      </c>
      <c r="F149" s="2">
        <v>0</v>
      </c>
      <c r="G149" s="2">
        <v>0</v>
      </c>
      <c r="H149" s="2">
        <v>0</v>
      </c>
      <c r="I149" s="2">
        <v>0</v>
      </c>
      <c r="J149" s="2">
        <v>1</v>
      </c>
      <c r="K149" s="2"/>
      <c r="L149" s="2">
        <v>570964.84</v>
      </c>
    </row>
    <row r="150" spans="1:12">
      <c r="A150" s="2">
        <v>51575.68</v>
      </c>
      <c r="B150" s="2">
        <v>5329</v>
      </c>
      <c r="C150" s="2">
        <v>4.7E-2</v>
      </c>
      <c r="D150" s="2">
        <v>17</v>
      </c>
      <c r="E150" s="2">
        <v>0</v>
      </c>
      <c r="F150" s="2">
        <v>1</v>
      </c>
      <c r="G150" s="2">
        <v>0</v>
      </c>
      <c r="H150" s="2">
        <v>0</v>
      </c>
      <c r="I150" s="2">
        <v>1</v>
      </c>
      <c r="J150" s="2">
        <v>0</v>
      </c>
      <c r="K150" s="2"/>
      <c r="L150" s="2">
        <v>614024.91</v>
      </c>
    </row>
    <row r="151" spans="1:12">
      <c r="A151" s="2">
        <v>43319.94</v>
      </c>
      <c r="B151" s="2">
        <v>6551</v>
      </c>
      <c r="C151" s="2">
        <v>4.3999999999999997E-2</v>
      </c>
      <c r="D151" s="2">
        <v>13</v>
      </c>
      <c r="E151" s="2">
        <v>0</v>
      </c>
      <c r="F151" s="2">
        <v>1</v>
      </c>
      <c r="G151" s="2">
        <v>0</v>
      </c>
      <c r="H151" s="2">
        <v>0</v>
      </c>
      <c r="I151" s="2">
        <v>1</v>
      </c>
      <c r="J151" s="2">
        <v>0</v>
      </c>
      <c r="K151" s="2"/>
      <c r="L151" s="2">
        <v>712868.35</v>
      </c>
    </row>
    <row r="152" spans="1:12">
      <c r="A152" s="2">
        <v>47093.55</v>
      </c>
      <c r="B152" s="2">
        <v>5550</v>
      </c>
      <c r="C152" s="2">
        <v>0.1</v>
      </c>
      <c r="D152" s="2">
        <v>12</v>
      </c>
      <c r="E152" s="2">
        <v>0</v>
      </c>
      <c r="F152" s="2">
        <v>1</v>
      </c>
      <c r="G152" s="2">
        <v>0</v>
      </c>
      <c r="H152" s="2">
        <v>0</v>
      </c>
      <c r="I152" s="2">
        <v>1</v>
      </c>
      <c r="J152" s="2">
        <v>0</v>
      </c>
      <c r="K152" s="2"/>
      <c r="L152" s="2">
        <v>696744.15</v>
      </c>
    </row>
    <row r="153" spans="1:12">
      <c r="A153" s="2">
        <v>71855.09</v>
      </c>
      <c r="B153" s="2">
        <v>5911</v>
      </c>
      <c r="C153" s="2">
        <v>0.19700000000000001</v>
      </c>
      <c r="D153" s="2">
        <v>15</v>
      </c>
      <c r="E153" s="2">
        <v>0</v>
      </c>
      <c r="F153" s="2">
        <v>1</v>
      </c>
      <c r="G153" s="2">
        <v>0</v>
      </c>
      <c r="H153" s="2">
        <v>0</v>
      </c>
      <c r="I153" s="2">
        <v>1</v>
      </c>
      <c r="J153" s="2">
        <v>0</v>
      </c>
      <c r="K153" s="2"/>
      <c r="L153" s="2">
        <v>725847.99</v>
      </c>
    </row>
    <row r="154" spans="1:12">
      <c r="A154" s="2">
        <v>75645.23</v>
      </c>
      <c r="B154" s="2">
        <v>9674</v>
      </c>
      <c r="C154" s="2">
        <v>0.23400000000000001</v>
      </c>
      <c r="D154" s="2">
        <v>21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/>
      <c r="L154" s="2">
        <v>785028.25</v>
      </c>
    </row>
    <row r="155" spans="1:12">
      <c r="A155" s="2">
        <v>64374.75</v>
      </c>
      <c r="B155" s="2">
        <v>6740</v>
      </c>
      <c r="C155" s="2">
        <v>0.16900000000000001</v>
      </c>
      <c r="D155" s="2">
        <v>18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/>
      <c r="L155" s="2">
        <v>698492.67</v>
      </c>
    </row>
    <row r="156" spans="1:12">
      <c r="A156" s="2">
        <v>61433.84</v>
      </c>
      <c r="B156" s="2">
        <v>7745</v>
      </c>
      <c r="C156" s="2">
        <v>0.18</v>
      </c>
      <c r="D156" s="2">
        <v>16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/>
      <c r="L156" s="2">
        <v>685830.24</v>
      </c>
    </row>
    <row r="157" spans="1:12">
      <c r="A157" s="2">
        <v>42698.14</v>
      </c>
      <c r="B157" s="2">
        <v>7693</v>
      </c>
      <c r="C157" s="2">
        <v>0.187</v>
      </c>
      <c r="D157" s="2">
        <v>19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/>
      <c r="L157" s="2">
        <v>702318.94</v>
      </c>
    </row>
    <row r="158" spans="1:12">
      <c r="A158" s="2">
        <v>86883.31</v>
      </c>
      <c r="B158" s="2">
        <v>6424</v>
      </c>
      <c r="C158" s="2">
        <v>5.7000000000000002E-2</v>
      </c>
      <c r="D158" s="2">
        <v>19</v>
      </c>
      <c r="E158" s="2">
        <v>1</v>
      </c>
      <c r="F158" s="2">
        <v>0</v>
      </c>
      <c r="G158" s="2">
        <v>0</v>
      </c>
      <c r="H158" s="2">
        <v>0</v>
      </c>
      <c r="I158" s="2">
        <v>1</v>
      </c>
      <c r="J158" s="2">
        <v>0</v>
      </c>
      <c r="K158" s="2"/>
      <c r="L158" s="2">
        <v>700078.32</v>
      </c>
    </row>
    <row r="159" spans="1:12">
      <c r="A159" s="2">
        <v>41863.08</v>
      </c>
      <c r="B159" s="2">
        <v>5400</v>
      </c>
      <c r="C159" s="2">
        <v>0.114</v>
      </c>
      <c r="D159" s="2">
        <v>11</v>
      </c>
      <c r="E159" s="2">
        <v>1</v>
      </c>
      <c r="F159" s="2">
        <v>0</v>
      </c>
      <c r="G159" s="2">
        <v>0</v>
      </c>
      <c r="H159" s="2">
        <v>0</v>
      </c>
      <c r="I159" s="2">
        <v>1</v>
      </c>
      <c r="J159" s="2">
        <v>0</v>
      </c>
      <c r="K159" s="2"/>
      <c r="L159" s="2">
        <v>602002.31999999995</v>
      </c>
    </row>
    <row r="160" spans="1:12">
      <c r="A160" s="2">
        <v>56918.16</v>
      </c>
      <c r="B160" s="2">
        <v>7015</v>
      </c>
      <c r="C160" s="2">
        <v>0.158</v>
      </c>
      <c r="D160" s="2">
        <v>18</v>
      </c>
      <c r="E160" s="2">
        <v>1</v>
      </c>
      <c r="F160" s="2">
        <v>0</v>
      </c>
      <c r="G160" s="2">
        <v>0</v>
      </c>
      <c r="H160" s="2">
        <v>0</v>
      </c>
      <c r="I160" s="2">
        <v>1</v>
      </c>
      <c r="J160" s="2">
        <v>0</v>
      </c>
      <c r="K160" s="2"/>
      <c r="L160" s="2">
        <v>724216.07</v>
      </c>
    </row>
    <row r="161" spans="1:12">
      <c r="A161" s="2">
        <v>23254.57</v>
      </c>
      <c r="B161" s="2">
        <v>3847</v>
      </c>
      <c r="C161" s="2">
        <v>0.159</v>
      </c>
      <c r="D161" s="2">
        <v>12</v>
      </c>
      <c r="E161" s="2">
        <v>1</v>
      </c>
      <c r="F161" s="2">
        <v>0</v>
      </c>
      <c r="G161" s="2">
        <v>0</v>
      </c>
      <c r="H161" s="2">
        <v>0</v>
      </c>
      <c r="I161" s="2">
        <v>1</v>
      </c>
      <c r="J161" s="2">
        <v>0</v>
      </c>
      <c r="K161" s="2"/>
      <c r="L161" s="2">
        <v>620973.03</v>
      </c>
    </row>
    <row r="162" spans="1:12">
      <c r="A162" s="2">
        <v>41443.410000000003</v>
      </c>
      <c r="B162" s="2">
        <v>7455</v>
      </c>
      <c r="C162" s="2">
        <v>0.17499999999999999</v>
      </c>
      <c r="D162" s="2">
        <v>16</v>
      </c>
      <c r="E162" s="2">
        <v>0</v>
      </c>
      <c r="F162" s="2">
        <v>1</v>
      </c>
      <c r="G162" s="2">
        <v>0</v>
      </c>
      <c r="H162" s="2">
        <v>0</v>
      </c>
      <c r="I162" s="2">
        <v>0</v>
      </c>
      <c r="J162" s="2">
        <v>0</v>
      </c>
      <c r="K162" s="2"/>
      <c r="L162" s="2">
        <v>650480.06000000006</v>
      </c>
    </row>
    <row r="163" spans="1:12">
      <c r="A163" s="2">
        <v>48438.85</v>
      </c>
      <c r="B163" s="2">
        <v>6992</v>
      </c>
      <c r="C163" s="2">
        <v>3.4000000000000002E-2</v>
      </c>
      <c r="D163" s="2">
        <v>20</v>
      </c>
      <c r="E163" s="2">
        <v>0</v>
      </c>
      <c r="F163" s="2">
        <v>1</v>
      </c>
      <c r="G163" s="2">
        <v>0</v>
      </c>
      <c r="H163" s="2">
        <v>0</v>
      </c>
      <c r="I163" s="2">
        <v>0</v>
      </c>
      <c r="J163" s="2">
        <v>0</v>
      </c>
      <c r="K163" s="2"/>
      <c r="L163" s="2">
        <v>778298.88</v>
      </c>
    </row>
    <row r="164" spans="1:12">
      <c r="A164" s="2">
        <v>57143.3</v>
      </c>
      <c r="B164" s="2">
        <v>8038</v>
      </c>
      <c r="C164" s="2">
        <v>0.193</v>
      </c>
      <c r="D164" s="2">
        <v>17</v>
      </c>
      <c r="E164" s="2">
        <v>0</v>
      </c>
      <c r="F164" s="2">
        <v>1</v>
      </c>
      <c r="G164" s="2">
        <v>0</v>
      </c>
      <c r="H164" s="2">
        <v>0</v>
      </c>
      <c r="I164" s="2">
        <v>0</v>
      </c>
      <c r="J164" s="2">
        <v>0</v>
      </c>
      <c r="K164" s="2"/>
      <c r="L164" s="2">
        <v>677096.71</v>
      </c>
    </row>
    <row r="165" spans="1:12">
      <c r="A165" s="2">
        <v>66870.62</v>
      </c>
      <c r="B165" s="2">
        <v>6055</v>
      </c>
      <c r="C165" s="2">
        <v>7.4999999999999997E-2</v>
      </c>
      <c r="D165" s="2">
        <v>19</v>
      </c>
      <c r="E165" s="2">
        <v>0</v>
      </c>
      <c r="F165" s="2">
        <v>1</v>
      </c>
      <c r="G165" s="2">
        <v>0</v>
      </c>
      <c r="H165" s="2">
        <v>0</v>
      </c>
      <c r="I165" s="2">
        <v>0</v>
      </c>
      <c r="J165" s="2">
        <v>0</v>
      </c>
      <c r="K165" s="2"/>
      <c r="L165" s="2">
        <v>692008.64</v>
      </c>
    </row>
    <row r="166" spans="1:12">
      <c r="A166" s="2">
        <v>72150.53</v>
      </c>
      <c r="B166" s="2">
        <v>9323</v>
      </c>
      <c r="C166" s="2">
        <v>0.157</v>
      </c>
      <c r="D166" s="2">
        <v>22</v>
      </c>
      <c r="E166" s="2">
        <v>1</v>
      </c>
      <c r="F166" s="2">
        <v>0</v>
      </c>
      <c r="G166" s="2">
        <v>0</v>
      </c>
      <c r="H166" s="2">
        <v>0</v>
      </c>
      <c r="I166" s="2">
        <v>1</v>
      </c>
      <c r="J166" s="2">
        <v>0</v>
      </c>
      <c r="K166" s="2"/>
      <c r="L166" s="2">
        <v>825797.91</v>
      </c>
    </row>
    <row r="167" spans="1:12">
      <c r="A167" s="2">
        <v>35303.300000000003</v>
      </c>
      <c r="B167" s="2">
        <v>8789</v>
      </c>
      <c r="C167" s="2">
        <v>0.123</v>
      </c>
      <c r="D167" s="2">
        <v>22</v>
      </c>
      <c r="E167" s="2">
        <v>1</v>
      </c>
      <c r="F167" s="2">
        <v>0</v>
      </c>
      <c r="G167" s="2">
        <v>0</v>
      </c>
      <c r="H167" s="2">
        <v>0</v>
      </c>
      <c r="I167" s="2">
        <v>1</v>
      </c>
      <c r="J167" s="2">
        <v>0</v>
      </c>
      <c r="K167" s="2"/>
      <c r="L167" s="2">
        <v>706285.52</v>
      </c>
    </row>
    <row r="168" spans="1:12">
      <c r="A168" s="2">
        <v>30301.86</v>
      </c>
      <c r="B168" s="2">
        <v>6939</v>
      </c>
      <c r="C168" s="2">
        <v>0.09</v>
      </c>
      <c r="D168" s="2">
        <v>16</v>
      </c>
      <c r="E168" s="2">
        <v>1</v>
      </c>
      <c r="F168" s="2">
        <v>0</v>
      </c>
      <c r="G168" s="2">
        <v>0</v>
      </c>
      <c r="H168" s="2">
        <v>0</v>
      </c>
      <c r="I168" s="2">
        <v>1</v>
      </c>
      <c r="J168" s="2">
        <v>0</v>
      </c>
      <c r="K168" s="2"/>
      <c r="L168" s="2">
        <v>665534.69999999995</v>
      </c>
    </row>
    <row r="169" spans="1:12">
      <c r="A169" s="2">
        <v>78432.14</v>
      </c>
      <c r="B169" s="2">
        <v>9440</v>
      </c>
      <c r="C169" s="2">
        <v>0.126</v>
      </c>
      <c r="D169" s="2">
        <v>23</v>
      </c>
      <c r="E169" s="2">
        <v>1</v>
      </c>
      <c r="F169" s="2">
        <v>0</v>
      </c>
      <c r="G169" s="2">
        <v>0</v>
      </c>
      <c r="H169" s="2">
        <v>0</v>
      </c>
      <c r="I169" s="2">
        <v>1</v>
      </c>
      <c r="J169" s="2">
        <v>0</v>
      </c>
      <c r="K169" s="2"/>
      <c r="L169" s="2">
        <v>820729.29</v>
      </c>
    </row>
    <row r="170" spans="1:12">
      <c r="A170" s="2">
        <v>62059.18</v>
      </c>
      <c r="B170" s="2">
        <v>9374</v>
      </c>
      <c r="C170" s="2">
        <v>0.13600000000000001</v>
      </c>
      <c r="D170" s="2">
        <v>25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1</v>
      </c>
      <c r="K170" s="2"/>
      <c r="L170" s="2">
        <v>739831.73</v>
      </c>
    </row>
    <row r="171" spans="1:12">
      <c r="A171" s="2">
        <v>32834.480000000003</v>
      </c>
      <c r="B171" s="2">
        <v>7576</v>
      </c>
      <c r="C171" s="2">
        <v>9.9000000000000005E-2</v>
      </c>
      <c r="D171" s="2">
        <v>15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1</v>
      </c>
      <c r="K171" s="2"/>
      <c r="L171" s="2">
        <v>593637.14</v>
      </c>
    </row>
    <row r="172" spans="1:12">
      <c r="A172" s="2">
        <v>50825.08</v>
      </c>
      <c r="B172" s="2">
        <v>8949</v>
      </c>
      <c r="C172" s="2">
        <v>0.157</v>
      </c>
      <c r="D172" s="2">
        <v>21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1</v>
      </c>
      <c r="K172" s="2"/>
      <c r="L172" s="2">
        <v>769702.76</v>
      </c>
    </row>
    <row r="173" spans="1:12">
      <c r="A173" s="2">
        <v>36606.51</v>
      </c>
      <c r="B173" s="2">
        <v>7671</v>
      </c>
      <c r="C173" s="2">
        <v>0.11799999999999999</v>
      </c>
      <c r="D173" s="2">
        <v>18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1</v>
      </c>
      <c r="K173" s="2"/>
      <c r="L173" s="2">
        <v>679731.57</v>
      </c>
    </row>
    <row r="174" spans="1:12">
      <c r="A174" s="2">
        <v>65237.79</v>
      </c>
      <c r="B174" s="2">
        <v>8741</v>
      </c>
      <c r="C174" s="2">
        <v>0.157</v>
      </c>
      <c r="D174" s="2">
        <v>20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1</v>
      </c>
      <c r="K174" s="2"/>
      <c r="L174" s="2">
        <v>780344.18</v>
      </c>
    </row>
    <row r="175" spans="1:12">
      <c r="A175" s="2">
        <v>43645.98</v>
      </c>
      <c r="B175" s="2">
        <v>9480</v>
      </c>
      <c r="C175" s="2">
        <v>0.109</v>
      </c>
      <c r="D175" s="2">
        <v>22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1</v>
      </c>
      <c r="K175" s="2"/>
      <c r="L175" s="2">
        <v>721364.11</v>
      </c>
    </row>
    <row r="176" spans="1:12">
      <c r="A176" s="2">
        <v>68040.149999999994</v>
      </c>
      <c r="B176" s="2">
        <v>9826</v>
      </c>
      <c r="C176" s="2">
        <v>0.125</v>
      </c>
      <c r="D176" s="2">
        <v>20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1</v>
      </c>
      <c r="K176" s="2"/>
      <c r="L176" s="2">
        <v>758138.29</v>
      </c>
    </row>
    <row r="177" spans="1:12">
      <c r="A177" s="2">
        <v>63043.94</v>
      </c>
      <c r="B177" s="2">
        <v>10402</v>
      </c>
      <c r="C177" s="2">
        <v>0.159</v>
      </c>
      <c r="D177" s="2">
        <v>23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1</v>
      </c>
      <c r="K177" s="2"/>
      <c r="L177" s="2">
        <v>804264</v>
      </c>
    </row>
    <row r="178" spans="1:12">
      <c r="A178" s="2">
        <v>67494.09</v>
      </c>
      <c r="B178" s="2">
        <v>12361</v>
      </c>
      <c r="C178" s="2">
        <v>4.5999999999999999E-2</v>
      </c>
      <c r="D178" s="2">
        <v>24</v>
      </c>
      <c r="E178" s="2">
        <v>0</v>
      </c>
      <c r="F178" s="2">
        <v>0</v>
      </c>
      <c r="G178" s="2">
        <v>1</v>
      </c>
      <c r="H178" s="2">
        <v>0</v>
      </c>
      <c r="I178" s="2">
        <v>0</v>
      </c>
      <c r="J178" s="2">
        <v>0</v>
      </c>
      <c r="K178" s="2"/>
      <c r="L178" s="2">
        <v>887537.75</v>
      </c>
    </row>
    <row r="179" spans="1:12">
      <c r="A179" s="2">
        <v>29389.32</v>
      </c>
      <c r="B179" s="2">
        <v>7925</v>
      </c>
      <c r="C179" s="2">
        <v>0.17699999999999999</v>
      </c>
      <c r="D179" s="2">
        <v>21</v>
      </c>
      <c r="E179" s="2">
        <v>0</v>
      </c>
      <c r="F179" s="2">
        <v>0</v>
      </c>
      <c r="G179" s="2">
        <v>1</v>
      </c>
      <c r="H179" s="2">
        <v>0</v>
      </c>
      <c r="I179" s="2">
        <v>0</v>
      </c>
      <c r="J179" s="2">
        <v>0</v>
      </c>
      <c r="K179" s="2"/>
      <c r="L179" s="2">
        <v>783582</v>
      </c>
    </row>
    <row r="180" spans="1:12">
      <c r="A180" s="2">
        <v>40535.089999999997</v>
      </c>
      <c r="B180" s="2">
        <v>8870</v>
      </c>
      <c r="C180" s="2">
        <v>4.1000000000000002E-2</v>
      </c>
      <c r="D180" s="2">
        <v>21</v>
      </c>
      <c r="E180" s="2">
        <v>0</v>
      </c>
      <c r="F180" s="2">
        <v>0</v>
      </c>
      <c r="G180" s="2">
        <v>1</v>
      </c>
      <c r="H180" s="2">
        <v>0</v>
      </c>
      <c r="I180" s="2">
        <v>0</v>
      </c>
      <c r="J180" s="2">
        <v>0</v>
      </c>
      <c r="K180" s="2"/>
      <c r="L180" s="2">
        <v>781955.52</v>
      </c>
    </row>
    <row r="181" spans="1:12">
      <c r="A181" s="2">
        <v>74881.56</v>
      </c>
      <c r="B181" s="2">
        <v>9999</v>
      </c>
      <c r="C181" s="2">
        <v>1.2999999999999999E-2</v>
      </c>
      <c r="D181" s="2">
        <v>20</v>
      </c>
      <c r="E181" s="2">
        <v>0</v>
      </c>
      <c r="F181" s="2">
        <v>0</v>
      </c>
      <c r="G181" s="2">
        <v>1</v>
      </c>
      <c r="H181" s="2">
        <v>0</v>
      </c>
      <c r="I181" s="2">
        <v>0</v>
      </c>
      <c r="J181" s="2">
        <v>0</v>
      </c>
      <c r="K181" s="2"/>
      <c r="L181" s="2">
        <v>898031.04</v>
      </c>
    </row>
    <row r="182" spans="1:12">
      <c r="A182" s="2">
        <v>68491.11</v>
      </c>
      <c r="B182" s="2">
        <v>11154</v>
      </c>
      <c r="C182" s="2">
        <v>1E-3</v>
      </c>
      <c r="D182" s="2">
        <v>24</v>
      </c>
      <c r="E182" s="2">
        <v>0</v>
      </c>
      <c r="F182" s="2">
        <v>0</v>
      </c>
      <c r="G182" s="2">
        <v>1</v>
      </c>
      <c r="H182" s="2">
        <v>0</v>
      </c>
      <c r="I182" s="2">
        <v>0</v>
      </c>
      <c r="J182" s="2">
        <v>1</v>
      </c>
      <c r="K182" s="2"/>
      <c r="L182" s="2">
        <v>855341.28</v>
      </c>
    </row>
    <row r="183" spans="1:12">
      <c r="A183" s="2">
        <v>45209.25</v>
      </c>
      <c r="B183" s="2">
        <v>9287</v>
      </c>
      <c r="C183" s="2">
        <v>0.14099999999999999</v>
      </c>
      <c r="D183" s="2">
        <v>22</v>
      </c>
      <c r="E183" s="2">
        <v>0</v>
      </c>
      <c r="F183" s="2">
        <v>0</v>
      </c>
      <c r="G183" s="2">
        <v>1</v>
      </c>
      <c r="H183" s="2">
        <v>0</v>
      </c>
      <c r="I183" s="2">
        <v>0</v>
      </c>
      <c r="J183" s="2">
        <v>1</v>
      </c>
      <c r="K183" s="2"/>
      <c r="L183" s="2">
        <v>751393.88</v>
      </c>
    </row>
    <row r="184" spans="1:12">
      <c r="A184" s="2">
        <v>63010.23</v>
      </c>
      <c r="B184" s="2">
        <v>9812</v>
      </c>
      <c r="C184" s="2">
        <v>0.113</v>
      </c>
      <c r="D184" s="2">
        <v>24</v>
      </c>
      <c r="E184" s="2">
        <v>0</v>
      </c>
      <c r="F184" s="2">
        <v>0</v>
      </c>
      <c r="G184" s="2">
        <v>1</v>
      </c>
      <c r="H184" s="2">
        <v>0</v>
      </c>
      <c r="I184" s="2">
        <v>0</v>
      </c>
      <c r="J184" s="2">
        <v>1</v>
      </c>
      <c r="K184" s="2"/>
      <c r="L184" s="2">
        <v>761077.08</v>
      </c>
    </row>
    <row r="185" spans="1:12">
      <c r="A185" s="2">
        <v>57948.88</v>
      </c>
      <c r="B185" s="2">
        <v>10741</v>
      </c>
      <c r="C185" s="2">
        <v>7.0000000000000007E-2</v>
      </c>
      <c r="D185" s="2">
        <v>25</v>
      </c>
      <c r="E185" s="2">
        <v>0</v>
      </c>
      <c r="F185" s="2">
        <v>0</v>
      </c>
      <c r="G185" s="2">
        <v>1</v>
      </c>
      <c r="H185" s="2">
        <v>0</v>
      </c>
      <c r="I185" s="2">
        <v>0</v>
      </c>
      <c r="J185" s="2">
        <v>1</v>
      </c>
      <c r="K185" s="2"/>
      <c r="L185" s="2">
        <v>819660.59</v>
      </c>
    </row>
    <row r="186" spans="1:12">
      <c r="A186" s="2">
        <v>71941.62</v>
      </c>
      <c r="B186" s="2">
        <v>6084</v>
      </c>
      <c r="C186" s="2">
        <v>7.1999999999999995E-2</v>
      </c>
      <c r="D186" s="2">
        <v>13</v>
      </c>
      <c r="E186" s="2">
        <v>1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/>
      <c r="L186" s="2">
        <v>681855.56</v>
      </c>
    </row>
    <row r="187" spans="1:12">
      <c r="A187" s="2">
        <v>57147.88</v>
      </c>
      <c r="B187" s="2">
        <v>5252</v>
      </c>
      <c r="C187" s="2">
        <v>0.161</v>
      </c>
      <c r="D187" s="2">
        <v>15</v>
      </c>
      <c r="E187" s="2">
        <v>1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/>
      <c r="L187" s="2">
        <v>678311.17</v>
      </c>
    </row>
    <row r="188" spans="1:12">
      <c r="A188" s="2">
        <v>48031.74</v>
      </c>
      <c r="B188" s="2">
        <v>6516</v>
      </c>
      <c r="C188" s="2">
        <v>6.7000000000000004E-2</v>
      </c>
      <c r="D188" s="2">
        <v>14</v>
      </c>
      <c r="E188" s="2">
        <v>1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/>
      <c r="L188" s="2">
        <v>765906.95</v>
      </c>
    </row>
    <row r="189" spans="1:12">
      <c r="A189" s="2">
        <v>72784.800000000003</v>
      </c>
      <c r="B189" s="2">
        <v>7932</v>
      </c>
      <c r="C189" s="2">
        <v>9.4E-2</v>
      </c>
      <c r="D189" s="2">
        <v>20</v>
      </c>
      <c r="E189" s="2">
        <v>1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/>
      <c r="L189" s="2">
        <v>712546.38</v>
      </c>
    </row>
    <row r="190" spans="1:12">
      <c r="A190" s="2">
        <v>71641.899999999994</v>
      </c>
      <c r="B190" s="2">
        <v>3506</v>
      </c>
      <c r="C190" s="2">
        <v>0</v>
      </c>
      <c r="D190" s="2">
        <v>11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/>
      <c r="L190" s="2">
        <v>625993.82999999996</v>
      </c>
    </row>
    <row r="191" spans="1:12">
      <c r="A191" s="2">
        <v>55788.61</v>
      </c>
      <c r="B191" s="2">
        <v>2312</v>
      </c>
      <c r="C191" s="2">
        <v>5.8000000000000003E-2</v>
      </c>
      <c r="D191" s="2">
        <v>10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/>
      <c r="L191" s="2">
        <v>550962.93000000005</v>
      </c>
    </row>
    <row r="192" spans="1:12">
      <c r="A192" s="2">
        <v>37705.879999999997</v>
      </c>
      <c r="B192" s="2">
        <v>1268</v>
      </c>
      <c r="C192" s="2">
        <v>0.25900000000000001</v>
      </c>
      <c r="D192" s="2">
        <v>9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/>
      <c r="L192" s="2">
        <v>443275.59</v>
      </c>
    </row>
    <row r="193" spans="1:12">
      <c r="A193" s="2">
        <v>54966.18</v>
      </c>
      <c r="B193" s="2">
        <v>4423</v>
      </c>
      <c r="C193" s="2">
        <v>0.186</v>
      </c>
      <c r="D193" s="2">
        <v>13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/>
      <c r="L193" s="2">
        <v>554012.06999999995</v>
      </c>
    </row>
    <row r="194" spans="1:12">
      <c r="A194" s="2">
        <v>81796.740000000005</v>
      </c>
      <c r="B194" s="2">
        <v>6177</v>
      </c>
      <c r="C194" s="2">
        <v>0.16400000000000001</v>
      </c>
      <c r="D194" s="2">
        <v>14</v>
      </c>
      <c r="E194" s="2">
        <v>0</v>
      </c>
      <c r="F194" s="2">
        <v>0</v>
      </c>
      <c r="G194" s="2">
        <v>1</v>
      </c>
      <c r="H194" s="2">
        <v>0</v>
      </c>
      <c r="I194" s="2">
        <v>0</v>
      </c>
      <c r="J194" s="2">
        <v>1</v>
      </c>
      <c r="K194" s="2"/>
      <c r="L194" s="2">
        <v>643428.85</v>
      </c>
    </row>
    <row r="195" spans="1:12">
      <c r="A195" s="2">
        <v>51133.43</v>
      </c>
      <c r="B195" s="2">
        <v>5150</v>
      </c>
      <c r="C195" s="2">
        <v>0.15</v>
      </c>
      <c r="D195" s="2">
        <v>12</v>
      </c>
      <c r="E195" s="2">
        <v>0</v>
      </c>
      <c r="F195" s="2">
        <v>0</v>
      </c>
      <c r="G195" s="2">
        <v>1</v>
      </c>
      <c r="H195" s="2">
        <v>0</v>
      </c>
      <c r="I195" s="2">
        <v>0</v>
      </c>
      <c r="J195" s="2">
        <v>1</v>
      </c>
      <c r="K195" s="2"/>
      <c r="L195" s="2">
        <v>611924.27</v>
      </c>
    </row>
    <row r="196" spans="1:12">
      <c r="A196" s="2">
        <v>40220.18</v>
      </c>
      <c r="B196" s="2">
        <v>3783</v>
      </c>
      <c r="C196" s="2">
        <v>8.8999999999999996E-2</v>
      </c>
      <c r="D196" s="2">
        <v>14</v>
      </c>
      <c r="E196" s="2">
        <v>0</v>
      </c>
      <c r="F196" s="2">
        <v>0</v>
      </c>
      <c r="G196" s="2">
        <v>1</v>
      </c>
      <c r="H196" s="2">
        <v>0</v>
      </c>
      <c r="I196" s="2">
        <v>0</v>
      </c>
      <c r="J196" s="2">
        <v>1</v>
      </c>
      <c r="K196" s="2"/>
      <c r="L196" s="2">
        <v>559422.02</v>
      </c>
    </row>
    <row r="197" spans="1:12">
      <c r="A197" s="2">
        <v>41657.64</v>
      </c>
      <c r="B197" s="2">
        <v>3135</v>
      </c>
      <c r="C197" s="2">
        <v>0.22900000000000001</v>
      </c>
      <c r="D197" s="2">
        <v>7</v>
      </c>
      <c r="E197" s="2">
        <v>0</v>
      </c>
      <c r="F197" s="2">
        <v>0</v>
      </c>
      <c r="G197" s="2">
        <v>1</v>
      </c>
      <c r="H197" s="2">
        <v>0</v>
      </c>
      <c r="I197" s="2">
        <v>0</v>
      </c>
      <c r="J197" s="2">
        <v>1</v>
      </c>
      <c r="K197" s="2"/>
      <c r="L197" s="2">
        <v>449465.06</v>
      </c>
    </row>
    <row r="198" spans="1:12">
      <c r="A198" s="2">
        <v>71851.45</v>
      </c>
      <c r="B198" s="2">
        <v>4970</v>
      </c>
      <c r="C198" s="2">
        <v>9.8000000000000004E-2</v>
      </c>
      <c r="D198" s="2">
        <v>11</v>
      </c>
      <c r="E198" s="2">
        <v>1</v>
      </c>
      <c r="F198" s="2">
        <v>0</v>
      </c>
      <c r="G198" s="2">
        <v>0</v>
      </c>
      <c r="H198" s="2">
        <v>0</v>
      </c>
      <c r="I198" s="2">
        <v>0</v>
      </c>
      <c r="J198" s="2">
        <v>1</v>
      </c>
      <c r="K198" s="2"/>
      <c r="L198" s="2">
        <v>691447.43</v>
      </c>
    </row>
    <row r="199" spans="1:12">
      <c r="A199" s="2">
        <v>54002.83</v>
      </c>
      <c r="B199" s="2">
        <v>4366</v>
      </c>
      <c r="C199" s="2">
        <v>2.7E-2</v>
      </c>
      <c r="D199" s="2">
        <v>15</v>
      </c>
      <c r="E199" s="2">
        <v>1</v>
      </c>
      <c r="F199" s="2">
        <v>0</v>
      </c>
      <c r="G199" s="2">
        <v>0</v>
      </c>
      <c r="H199" s="2">
        <v>0</v>
      </c>
      <c r="I199" s="2">
        <v>0</v>
      </c>
      <c r="J199" s="2">
        <v>1</v>
      </c>
      <c r="K199" s="2"/>
      <c r="L199" s="2">
        <v>574066.61</v>
      </c>
    </row>
    <row r="200" spans="1:12">
      <c r="A200" s="2">
        <v>54479.33</v>
      </c>
      <c r="B200" s="2">
        <v>5012</v>
      </c>
      <c r="C200" s="2">
        <v>0.28399999999999997</v>
      </c>
      <c r="D200" s="2">
        <v>13</v>
      </c>
      <c r="E200" s="2">
        <v>1</v>
      </c>
      <c r="F200" s="2">
        <v>0</v>
      </c>
      <c r="G200" s="2">
        <v>0</v>
      </c>
      <c r="H200" s="2">
        <v>0</v>
      </c>
      <c r="I200" s="2">
        <v>0</v>
      </c>
      <c r="J200" s="2">
        <v>1</v>
      </c>
      <c r="K200" s="2"/>
      <c r="L200" s="2">
        <v>578949.84</v>
      </c>
    </row>
    <row r="201" spans="1:12">
      <c r="A201" s="2">
        <v>61391.8</v>
      </c>
      <c r="B201" s="2">
        <v>5575</v>
      </c>
      <c r="C201" s="2">
        <v>0.189</v>
      </c>
      <c r="D201" s="2">
        <v>18</v>
      </c>
      <c r="E201" s="2">
        <v>1</v>
      </c>
      <c r="F201" s="2">
        <v>0</v>
      </c>
      <c r="G201" s="2">
        <v>0</v>
      </c>
      <c r="H201" s="2">
        <v>0</v>
      </c>
      <c r="I201" s="2">
        <v>0</v>
      </c>
      <c r="J201" s="2">
        <v>1</v>
      </c>
      <c r="K201" s="2"/>
      <c r="L201" s="2">
        <v>735786.64</v>
      </c>
    </row>
    <row r="202" spans="1:12">
      <c r="A202" s="2">
        <v>22312.93</v>
      </c>
      <c r="B202" s="2">
        <v>5955</v>
      </c>
      <c r="C202" s="2">
        <v>0.123</v>
      </c>
      <c r="D202" s="2">
        <v>13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/>
      <c r="L202" s="2">
        <v>598904.9</v>
      </c>
    </row>
    <row r="203" spans="1:12">
      <c r="A203" s="2">
        <v>78111.97</v>
      </c>
      <c r="B203" s="2">
        <v>6389</v>
      </c>
      <c r="C203" s="2">
        <v>0.15</v>
      </c>
      <c r="D203" s="2">
        <v>13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/>
      <c r="L203" s="2">
        <v>787715.51</v>
      </c>
    </row>
    <row r="204" spans="1:12">
      <c r="A204" s="2">
        <v>35203.230000000003</v>
      </c>
      <c r="B204" s="2">
        <v>6896</v>
      </c>
      <c r="C204" s="2">
        <v>3.2000000000000001E-2</v>
      </c>
      <c r="D204" s="2">
        <v>14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/>
      <c r="L204" s="2">
        <v>607084.92000000004</v>
      </c>
    </row>
    <row r="205" spans="1:12">
      <c r="A205" s="2">
        <v>64104.28</v>
      </c>
      <c r="B205" s="2">
        <v>6015</v>
      </c>
      <c r="C205" s="2">
        <v>0.127</v>
      </c>
      <c r="D205" s="2">
        <v>15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/>
      <c r="L205" s="2">
        <v>650795.49</v>
      </c>
    </row>
    <row r="206" spans="1:12">
      <c r="A206" s="2">
        <v>92090.14</v>
      </c>
      <c r="B206" s="2">
        <v>9476</v>
      </c>
      <c r="C206" s="2">
        <v>7.0000000000000007E-2</v>
      </c>
      <c r="D206" s="2">
        <v>24</v>
      </c>
      <c r="E206" s="2">
        <v>0</v>
      </c>
      <c r="F206" s="2">
        <v>0</v>
      </c>
      <c r="G206" s="2">
        <v>0</v>
      </c>
      <c r="H206" s="2">
        <v>0</v>
      </c>
      <c r="I206" s="2">
        <v>1</v>
      </c>
      <c r="J206" s="2">
        <v>0</v>
      </c>
      <c r="K206" s="2"/>
      <c r="L206" s="2">
        <v>825060.52</v>
      </c>
    </row>
    <row r="207" spans="1:12">
      <c r="A207" s="2">
        <v>54300.87</v>
      </c>
      <c r="B207" s="2">
        <v>7875</v>
      </c>
      <c r="C207" s="2">
        <v>0.107</v>
      </c>
      <c r="D207" s="2">
        <v>19</v>
      </c>
      <c r="E207" s="2">
        <v>0</v>
      </c>
      <c r="F207" s="2">
        <v>0</v>
      </c>
      <c r="G207" s="2">
        <v>0</v>
      </c>
      <c r="H207" s="2">
        <v>0</v>
      </c>
      <c r="I207" s="2">
        <v>1</v>
      </c>
      <c r="J207" s="2">
        <v>0</v>
      </c>
      <c r="K207" s="2"/>
      <c r="L207" s="2">
        <v>795464.47</v>
      </c>
    </row>
    <row r="208" spans="1:12">
      <c r="A208" s="2">
        <v>37983.35</v>
      </c>
      <c r="B208" s="2">
        <v>9283</v>
      </c>
      <c r="C208" s="2">
        <v>0.14899999999999999</v>
      </c>
      <c r="D208" s="2">
        <v>19</v>
      </c>
      <c r="E208" s="2">
        <v>0</v>
      </c>
      <c r="F208" s="2">
        <v>0</v>
      </c>
      <c r="G208" s="2">
        <v>0</v>
      </c>
      <c r="H208" s="2">
        <v>0</v>
      </c>
      <c r="I208" s="2">
        <v>1</v>
      </c>
      <c r="J208" s="2">
        <v>0</v>
      </c>
      <c r="K208" s="2"/>
      <c r="L208" s="2">
        <v>671868.59</v>
      </c>
    </row>
    <row r="209" spans="1:12">
      <c r="A209" s="2">
        <v>56413.83</v>
      </c>
      <c r="B209" s="2">
        <v>8303</v>
      </c>
      <c r="C209" s="2">
        <v>0.11600000000000001</v>
      </c>
      <c r="D209" s="2">
        <v>18</v>
      </c>
      <c r="E209" s="2">
        <v>0</v>
      </c>
      <c r="F209" s="2">
        <v>0</v>
      </c>
      <c r="G209" s="2">
        <v>0</v>
      </c>
      <c r="H209" s="2">
        <v>0</v>
      </c>
      <c r="I209" s="2">
        <v>1</v>
      </c>
      <c r="J209" s="2">
        <v>0</v>
      </c>
      <c r="K209" s="2"/>
      <c r="L209" s="2">
        <v>675917.63</v>
      </c>
    </row>
    <row r="210" spans="1:12">
      <c r="A210" s="2">
        <v>63457.19</v>
      </c>
      <c r="B210" s="2">
        <v>10125</v>
      </c>
      <c r="C210" s="2">
        <v>9.7000000000000003E-2</v>
      </c>
      <c r="D210" s="2">
        <v>24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/>
      <c r="L210" s="2">
        <v>810446.53</v>
      </c>
    </row>
    <row r="211" spans="1:12">
      <c r="A211" s="2">
        <v>62949.7</v>
      </c>
      <c r="B211" s="2">
        <v>9458</v>
      </c>
      <c r="C211" s="2">
        <v>0.17100000000000001</v>
      </c>
      <c r="D211" s="2">
        <v>19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/>
      <c r="L211" s="2">
        <v>691288.19</v>
      </c>
    </row>
    <row r="212" spans="1:12">
      <c r="A212" s="2">
        <v>107970.19</v>
      </c>
      <c r="B212" s="2">
        <v>12870</v>
      </c>
      <c r="C212" s="2">
        <v>2.9000000000000001E-2</v>
      </c>
      <c r="D212" s="2">
        <v>31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/>
      <c r="L212" s="2">
        <v>946833.54</v>
      </c>
    </row>
    <row r="213" spans="1:12">
      <c r="A213" s="2">
        <v>49405.75</v>
      </c>
      <c r="B213" s="2">
        <v>9752</v>
      </c>
      <c r="C213" s="2">
        <v>9.2999999999999999E-2</v>
      </c>
      <c r="D213" s="2">
        <v>21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/>
      <c r="L213" s="2">
        <v>761963.23</v>
      </c>
    </row>
    <row r="214" spans="1:12">
      <c r="A214" s="2">
        <v>50887.46</v>
      </c>
      <c r="B214" s="2">
        <v>9505</v>
      </c>
      <c r="C214" s="2">
        <v>9.0999999999999998E-2</v>
      </c>
      <c r="D214" s="2">
        <v>25</v>
      </c>
      <c r="E214" s="2">
        <v>0</v>
      </c>
      <c r="F214" s="2">
        <v>0</v>
      </c>
      <c r="G214" s="2">
        <v>1</v>
      </c>
      <c r="H214" s="2">
        <v>0</v>
      </c>
      <c r="I214" s="2">
        <v>0</v>
      </c>
      <c r="J214" s="2">
        <v>1</v>
      </c>
      <c r="K214" s="2"/>
      <c r="L214" s="2">
        <v>812152.6</v>
      </c>
    </row>
    <row r="215" spans="1:12">
      <c r="A215" s="2">
        <v>41819.449999999997</v>
      </c>
      <c r="B215" s="2">
        <v>9412</v>
      </c>
      <c r="C215" s="2">
        <v>0.15</v>
      </c>
      <c r="D215" s="2">
        <v>22</v>
      </c>
      <c r="E215" s="2">
        <v>0</v>
      </c>
      <c r="F215" s="2">
        <v>0</v>
      </c>
      <c r="G215" s="2">
        <v>1</v>
      </c>
      <c r="H215" s="2">
        <v>0</v>
      </c>
      <c r="I215" s="2">
        <v>0</v>
      </c>
      <c r="J215" s="2">
        <v>1</v>
      </c>
      <c r="K215" s="2"/>
      <c r="L215" s="2">
        <v>804975.5</v>
      </c>
    </row>
    <row r="216" spans="1:12">
      <c r="A216" s="2">
        <v>35296.54</v>
      </c>
      <c r="B216" s="2">
        <v>9644</v>
      </c>
      <c r="C216" s="2">
        <v>0</v>
      </c>
      <c r="D216" s="2">
        <v>22</v>
      </c>
      <c r="E216" s="2">
        <v>0</v>
      </c>
      <c r="F216" s="2">
        <v>0</v>
      </c>
      <c r="G216" s="2">
        <v>1</v>
      </c>
      <c r="H216" s="2">
        <v>0</v>
      </c>
      <c r="I216" s="2">
        <v>0</v>
      </c>
      <c r="J216" s="2">
        <v>1</v>
      </c>
      <c r="K216" s="2"/>
      <c r="L216" s="2">
        <v>752321.72</v>
      </c>
    </row>
    <row r="217" spans="1:12">
      <c r="A217" s="2">
        <v>47391.09</v>
      </c>
      <c r="B217" s="2">
        <v>11224</v>
      </c>
      <c r="C217" s="2">
        <v>0.14699999999999999</v>
      </c>
      <c r="D217" s="2">
        <v>25</v>
      </c>
      <c r="E217" s="2">
        <v>0</v>
      </c>
      <c r="F217" s="2">
        <v>0</v>
      </c>
      <c r="G217" s="2">
        <v>1</v>
      </c>
      <c r="H217" s="2">
        <v>0</v>
      </c>
      <c r="I217" s="2">
        <v>0</v>
      </c>
      <c r="J217" s="2">
        <v>1</v>
      </c>
      <c r="K217" s="2"/>
      <c r="L217" s="2">
        <v>836908.24</v>
      </c>
    </row>
    <row r="218" spans="1:12">
      <c r="A218" s="2">
        <v>69180.539999999994</v>
      </c>
      <c r="B218" s="2">
        <v>5394</v>
      </c>
      <c r="C218" s="2">
        <v>0.126</v>
      </c>
      <c r="D218" s="2">
        <v>12</v>
      </c>
      <c r="E218" s="2">
        <v>1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/>
      <c r="L218" s="2">
        <v>674289.1</v>
      </c>
    </row>
    <row r="219" spans="1:12">
      <c r="A219" s="2">
        <v>33987.33</v>
      </c>
      <c r="B219" s="2">
        <v>5014</v>
      </c>
      <c r="C219" s="2">
        <v>0.246</v>
      </c>
      <c r="D219" s="2">
        <v>17</v>
      </c>
      <c r="E219" s="2">
        <v>1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/>
      <c r="L219" s="2">
        <v>622892.42000000004</v>
      </c>
    </row>
    <row r="220" spans="1:12">
      <c r="A220" s="2">
        <v>58785.33</v>
      </c>
      <c r="B220" s="2">
        <v>4467</v>
      </c>
      <c r="C220" s="2">
        <v>0.22900000000000001</v>
      </c>
      <c r="D220" s="2">
        <v>14</v>
      </c>
      <c r="E220" s="2">
        <v>1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/>
      <c r="L220" s="2">
        <v>673348.56</v>
      </c>
    </row>
    <row r="221" spans="1:12">
      <c r="A221" s="2">
        <v>16451.849999999999</v>
      </c>
      <c r="B221" s="2">
        <v>4678</v>
      </c>
      <c r="C221" s="2">
        <v>0.13300000000000001</v>
      </c>
      <c r="D221" s="2">
        <v>11</v>
      </c>
      <c r="E221" s="2">
        <v>1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/>
      <c r="L221" s="2">
        <v>606278.30000000005</v>
      </c>
    </row>
    <row r="222" spans="1:12">
      <c r="A222" s="2">
        <v>53367.73</v>
      </c>
      <c r="B222" s="2">
        <v>7291</v>
      </c>
      <c r="C222" s="2">
        <v>0.14599999999999999</v>
      </c>
      <c r="D222" s="2">
        <v>18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/>
      <c r="L222" s="2">
        <v>712219.81</v>
      </c>
    </row>
    <row r="223" spans="1:12">
      <c r="A223" s="2">
        <v>27194.639999999999</v>
      </c>
      <c r="B223" s="2">
        <v>7404</v>
      </c>
      <c r="C223" s="2">
        <v>8.7999999999999995E-2</v>
      </c>
      <c r="D223" s="2">
        <v>18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/>
      <c r="L223" s="2">
        <v>672670.54</v>
      </c>
    </row>
    <row r="224" spans="1:12">
      <c r="A224" s="2">
        <v>66962.740000000005</v>
      </c>
      <c r="B224" s="2">
        <v>7880</v>
      </c>
      <c r="C224" s="2">
        <v>0.11600000000000001</v>
      </c>
      <c r="D224" s="2">
        <v>19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/>
      <c r="L224" s="2">
        <v>732667.92</v>
      </c>
    </row>
    <row r="225" spans="1:12">
      <c r="A225" s="2">
        <v>73540.990000000005</v>
      </c>
      <c r="B225" s="2">
        <v>8773</v>
      </c>
      <c r="C225" s="2">
        <v>3.5000000000000003E-2</v>
      </c>
      <c r="D225" s="2">
        <v>21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/>
      <c r="L225" s="2">
        <v>723531.4</v>
      </c>
    </row>
    <row r="226" spans="1:12">
      <c r="A226" s="2">
        <v>68212.289999999994</v>
      </c>
      <c r="B226" s="2">
        <v>4713</v>
      </c>
      <c r="C226" s="2">
        <v>0.19800000000000001</v>
      </c>
      <c r="D226" s="2">
        <v>15</v>
      </c>
      <c r="E226" s="2">
        <v>0</v>
      </c>
      <c r="F226" s="2">
        <v>0</v>
      </c>
      <c r="G226" s="2">
        <v>0</v>
      </c>
      <c r="H226" s="2">
        <v>0</v>
      </c>
      <c r="I226" s="2">
        <v>1</v>
      </c>
      <c r="J226" s="2">
        <v>0</v>
      </c>
      <c r="K226" s="2"/>
      <c r="L226" s="2">
        <v>641564.6</v>
      </c>
    </row>
    <row r="227" spans="1:12">
      <c r="A227" s="2">
        <v>57225.98</v>
      </c>
      <c r="B227" s="2">
        <v>2842</v>
      </c>
      <c r="C227" s="2">
        <v>0.112</v>
      </c>
      <c r="D227" s="2">
        <v>10</v>
      </c>
      <c r="E227" s="2">
        <v>0</v>
      </c>
      <c r="F227" s="2">
        <v>0</v>
      </c>
      <c r="G227" s="2">
        <v>0</v>
      </c>
      <c r="H227" s="2">
        <v>0</v>
      </c>
      <c r="I227" s="2">
        <v>1</v>
      </c>
      <c r="J227" s="2">
        <v>0</v>
      </c>
      <c r="K227" s="2"/>
      <c r="L227" s="2">
        <v>536545.49</v>
      </c>
    </row>
    <row r="228" spans="1:12">
      <c r="A228" s="2">
        <v>42932.02</v>
      </c>
      <c r="B228" s="2">
        <v>3872</v>
      </c>
      <c r="C228" s="2">
        <v>0.17100000000000001</v>
      </c>
      <c r="D228" s="2">
        <v>12</v>
      </c>
      <c r="E228" s="2">
        <v>0</v>
      </c>
      <c r="F228" s="2">
        <v>0</v>
      </c>
      <c r="G228" s="2">
        <v>0</v>
      </c>
      <c r="H228" s="2">
        <v>0</v>
      </c>
      <c r="I228" s="2">
        <v>1</v>
      </c>
      <c r="J228" s="2">
        <v>0</v>
      </c>
      <c r="K228" s="2"/>
      <c r="L228" s="2">
        <v>527681.56000000006</v>
      </c>
    </row>
    <row r="229" spans="1:12">
      <c r="A229" s="2">
        <v>39341.449999999997</v>
      </c>
      <c r="B229" s="2">
        <v>1375</v>
      </c>
      <c r="C229" s="2">
        <v>9.2999999999999999E-2</v>
      </c>
      <c r="D229" s="2">
        <v>5</v>
      </c>
      <c r="E229" s="2">
        <v>0</v>
      </c>
      <c r="F229" s="2">
        <v>0</v>
      </c>
      <c r="G229" s="2">
        <v>0</v>
      </c>
      <c r="H229" s="2">
        <v>0</v>
      </c>
      <c r="I229" s="2">
        <v>1</v>
      </c>
      <c r="J229" s="2">
        <v>0</v>
      </c>
      <c r="K229" s="2"/>
      <c r="L229" s="2">
        <v>529598.93999999994</v>
      </c>
    </row>
    <row r="230" spans="1:12">
      <c r="A230" s="2">
        <v>37324.230000000003</v>
      </c>
      <c r="B230" s="2">
        <v>5957</v>
      </c>
      <c r="C230" s="2">
        <v>7.0999999999999994E-2</v>
      </c>
      <c r="D230" s="2">
        <v>12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/>
      <c r="L230" s="2">
        <v>570963.31000000006</v>
      </c>
    </row>
    <row r="231" spans="1:12">
      <c r="A231" s="2">
        <v>113736</v>
      </c>
      <c r="B231" s="2">
        <v>8961</v>
      </c>
      <c r="C231" s="2">
        <v>0.20200000000000001</v>
      </c>
      <c r="D231" s="2">
        <v>24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/>
      <c r="L231" s="2">
        <v>870937.4</v>
      </c>
    </row>
    <row r="232" spans="1:12">
      <c r="A232" s="2">
        <v>33173.949999999997</v>
      </c>
      <c r="B232" s="2">
        <v>6545</v>
      </c>
      <c r="C232" s="2">
        <v>0.16900000000000001</v>
      </c>
      <c r="D232" s="2">
        <v>15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/>
      <c r="L232" s="2">
        <v>596969.27</v>
      </c>
    </row>
    <row r="233" spans="1:12">
      <c r="A233" s="2">
        <v>25818.080000000002</v>
      </c>
      <c r="B233" s="2">
        <v>5457</v>
      </c>
      <c r="C233" s="2">
        <v>0</v>
      </c>
      <c r="D233" s="2">
        <v>11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/>
      <c r="L233" s="2">
        <v>647512.85</v>
      </c>
    </row>
    <row r="234" spans="1:12">
      <c r="A234" s="2">
        <v>47241.919999999998</v>
      </c>
      <c r="B234" s="2">
        <v>4264</v>
      </c>
      <c r="C234" s="2">
        <v>6.9000000000000006E-2</v>
      </c>
      <c r="D234" s="2">
        <v>13</v>
      </c>
      <c r="E234" s="2">
        <v>0</v>
      </c>
      <c r="F234" s="2">
        <v>0</v>
      </c>
      <c r="G234" s="2">
        <v>1</v>
      </c>
      <c r="H234" s="2">
        <v>0</v>
      </c>
      <c r="I234" s="2">
        <v>0</v>
      </c>
      <c r="J234" s="2">
        <v>1</v>
      </c>
      <c r="K234" s="2"/>
      <c r="L234" s="2">
        <v>658072.14</v>
      </c>
    </row>
    <row r="235" spans="1:12">
      <c r="A235" s="2">
        <v>61650.79</v>
      </c>
      <c r="B235" s="2">
        <v>5321</v>
      </c>
      <c r="C235" s="2">
        <v>0.126</v>
      </c>
      <c r="D235" s="2">
        <v>17</v>
      </c>
      <c r="E235" s="2">
        <v>0</v>
      </c>
      <c r="F235" s="2">
        <v>0</v>
      </c>
      <c r="G235" s="2">
        <v>1</v>
      </c>
      <c r="H235" s="2">
        <v>0</v>
      </c>
      <c r="I235" s="2">
        <v>0</v>
      </c>
      <c r="J235" s="2">
        <v>1</v>
      </c>
      <c r="K235" s="2"/>
      <c r="L235" s="2">
        <v>723305.11</v>
      </c>
    </row>
    <row r="236" spans="1:12">
      <c r="A236" s="2">
        <v>62582.71</v>
      </c>
      <c r="B236" s="2">
        <v>5479</v>
      </c>
      <c r="C236" s="2">
        <v>4.8000000000000001E-2</v>
      </c>
      <c r="D236" s="2">
        <v>16</v>
      </c>
      <c r="E236" s="2">
        <v>0</v>
      </c>
      <c r="F236" s="2">
        <v>0</v>
      </c>
      <c r="G236" s="2">
        <v>1</v>
      </c>
      <c r="H236" s="2">
        <v>0</v>
      </c>
      <c r="I236" s="2">
        <v>0</v>
      </c>
      <c r="J236" s="2">
        <v>1</v>
      </c>
      <c r="K236" s="2"/>
      <c r="L236" s="2">
        <v>640666.53</v>
      </c>
    </row>
    <row r="237" spans="1:12">
      <c r="A237" s="2">
        <v>47944.14</v>
      </c>
      <c r="B237" s="2">
        <v>6169</v>
      </c>
      <c r="C237" s="2">
        <v>0.11899999999999999</v>
      </c>
      <c r="D237" s="2">
        <v>17</v>
      </c>
      <c r="E237" s="2">
        <v>0</v>
      </c>
      <c r="F237" s="2">
        <v>0</v>
      </c>
      <c r="G237" s="2">
        <v>1</v>
      </c>
      <c r="H237" s="2">
        <v>0</v>
      </c>
      <c r="I237" s="2">
        <v>0</v>
      </c>
      <c r="J237" s="2">
        <v>1</v>
      </c>
      <c r="K237" s="2"/>
      <c r="L237" s="2">
        <v>670629.48</v>
      </c>
    </row>
    <row r="238" spans="1:12">
      <c r="A238" s="2">
        <v>46495.4</v>
      </c>
      <c r="B238" s="2">
        <v>9908</v>
      </c>
      <c r="C238" s="2">
        <v>0.121</v>
      </c>
      <c r="D238" s="2">
        <v>22</v>
      </c>
      <c r="E238" s="2">
        <v>0</v>
      </c>
      <c r="F238" s="2">
        <v>0</v>
      </c>
      <c r="G238" s="2">
        <v>1</v>
      </c>
      <c r="H238" s="2">
        <v>0</v>
      </c>
      <c r="I238" s="2">
        <v>1</v>
      </c>
      <c r="J238" s="2">
        <v>0</v>
      </c>
      <c r="K238" s="2"/>
      <c r="L238" s="2">
        <v>721079.35</v>
      </c>
    </row>
    <row r="239" spans="1:12">
      <c r="A239" s="2">
        <v>72961.95</v>
      </c>
      <c r="B239" s="2">
        <v>9996</v>
      </c>
      <c r="C239" s="2">
        <v>0.106</v>
      </c>
      <c r="D239" s="2">
        <v>22</v>
      </c>
      <c r="E239" s="2">
        <v>0</v>
      </c>
      <c r="F239" s="2">
        <v>0</v>
      </c>
      <c r="G239" s="2">
        <v>1</v>
      </c>
      <c r="H239" s="2">
        <v>0</v>
      </c>
      <c r="I239" s="2">
        <v>1</v>
      </c>
      <c r="J239" s="2">
        <v>0</v>
      </c>
      <c r="K239" s="2"/>
      <c r="L239" s="2">
        <v>810355.02</v>
      </c>
    </row>
    <row r="240" spans="1:12">
      <c r="A240" s="2">
        <v>59060.05</v>
      </c>
      <c r="B240" s="2">
        <v>9702</v>
      </c>
      <c r="C240" s="2">
        <v>0.20100000000000001</v>
      </c>
      <c r="D240" s="2">
        <v>23</v>
      </c>
      <c r="E240" s="2">
        <v>0</v>
      </c>
      <c r="F240" s="2">
        <v>0</v>
      </c>
      <c r="G240" s="2">
        <v>1</v>
      </c>
      <c r="H240" s="2">
        <v>0</v>
      </c>
      <c r="I240" s="2">
        <v>1</v>
      </c>
      <c r="J240" s="2">
        <v>0</v>
      </c>
      <c r="K240" s="2"/>
      <c r="L240" s="2">
        <v>761919.25</v>
      </c>
    </row>
    <row r="241" spans="1:12">
      <c r="A241" s="2">
        <v>26248.1</v>
      </c>
      <c r="B241" s="2">
        <v>9314</v>
      </c>
      <c r="C241" s="2">
        <v>0.186</v>
      </c>
      <c r="D241" s="2">
        <v>21</v>
      </c>
      <c r="E241" s="2">
        <v>0</v>
      </c>
      <c r="F241" s="2">
        <v>0</v>
      </c>
      <c r="G241" s="2">
        <v>1</v>
      </c>
      <c r="H241" s="2">
        <v>0</v>
      </c>
      <c r="I241" s="2">
        <v>1</v>
      </c>
      <c r="J241" s="2">
        <v>0</v>
      </c>
      <c r="K241" s="2"/>
      <c r="L241" s="2">
        <v>737070.18</v>
      </c>
    </row>
    <row r="242" spans="1:12">
      <c r="A242" s="2">
        <v>69900.12</v>
      </c>
      <c r="B242" s="2">
        <v>8055</v>
      </c>
      <c r="C242" s="2">
        <v>0.28100000000000003</v>
      </c>
      <c r="D242" s="2">
        <v>22</v>
      </c>
      <c r="E242" s="2">
        <v>0</v>
      </c>
      <c r="F242" s="2">
        <v>1</v>
      </c>
      <c r="G242" s="2">
        <v>0</v>
      </c>
      <c r="H242" s="2">
        <v>0</v>
      </c>
      <c r="I242" s="2">
        <v>0</v>
      </c>
      <c r="J242" s="2">
        <v>0</v>
      </c>
      <c r="K242" s="2"/>
      <c r="L242" s="2">
        <v>776992.93</v>
      </c>
    </row>
    <row r="243" spans="1:12">
      <c r="A243" s="2">
        <v>51781.599999999999</v>
      </c>
      <c r="B243" s="2">
        <v>5648</v>
      </c>
      <c r="C243" s="2">
        <v>5.8999999999999997E-2</v>
      </c>
      <c r="D243" s="2">
        <v>13</v>
      </c>
      <c r="E243" s="2">
        <v>0</v>
      </c>
      <c r="F243" s="2">
        <v>1</v>
      </c>
      <c r="G243" s="2">
        <v>0</v>
      </c>
      <c r="H243" s="2">
        <v>0</v>
      </c>
      <c r="I243" s="2">
        <v>0</v>
      </c>
      <c r="J243" s="2">
        <v>0</v>
      </c>
      <c r="K243" s="2"/>
      <c r="L243" s="2">
        <v>676337.41</v>
      </c>
    </row>
    <row r="244" spans="1:12">
      <c r="A244" s="2">
        <v>70799.64</v>
      </c>
      <c r="B244" s="2">
        <v>10076</v>
      </c>
      <c r="C244" s="2">
        <v>0.152</v>
      </c>
      <c r="D244" s="2">
        <v>24</v>
      </c>
      <c r="E244" s="2">
        <v>0</v>
      </c>
      <c r="F244" s="2">
        <v>1</v>
      </c>
      <c r="G244" s="2">
        <v>0</v>
      </c>
      <c r="H244" s="2">
        <v>0</v>
      </c>
      <c r="I244" s="2">
        <v>0</v>
      </c>
      <c r="J244" s="2">
        <v>0</v>
      </c>
      <c r="K244" s="2"/>
      <c r="L244" s="2">
        <v>828219.67</v>
      </c>
    </row>
    <row r="245" spans="1:12">
      <c r="A245" s="2">
        <v>53546.34</v>
      </c>
      <c r="B245" s="2">
        <v>8004</v>
      </c>
      <c r="C245" s="2">
        <v>0</v>
      </c>
      <c r="D245" s="2">
        <v>21</v>
      </c>
      <c r="E245" s="2">
        <v>0</v>
      </c>
      <c r="F245" s="2">
        <v>1</v>
      </c>
      <c r="G245" s="2">
        <v>0</v>
      </c>
      <c r="H245" s="2">
        <v>0</v>
      </c>
      <c r="I245" s="2">
        <v>0</v>
      </c>
      <c r="J245" s="2">
        <v>0</v>
      </c>
      <c r="K245" s="2"/>
      <c r="L245" s="2">
        <v>763159.92</v>
      </c>
    </row>
    <row r="246" spans="1:12">
      <c r="A246" s="2">
        <v>76942.2</v>
      </c>
      <c r="B246" s="2">
        <v>8934</v>
      </c>
      <c r="C246" s="2">
        <v>8.4000000000000005E-2</v>
      </c>
      <c r="D246" s="2">
        <v>20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/>
      <c r="L246" s="2">
        <v>802001.68</v>
      </c>
    </row>
    <row r="247" spans="1:12">
      <c r="A247" s="2">
        <v>48060.78</v>
      </c>
      <c r="B247" s="2">
        <v>8733</v>
      </c>
      <c r="C247" s="2">
        <v>0</v>
      </c>
      <c r="D247" s="2">
        <v>20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/>
      <c r="L247" s="2">
        <v>750471.34</v>
      </c>
    </row>
    <row r="248" spans="1:12">
      <c r="A248" s="2">
        <v>57390.04</v>
      </c>
      <c r="B248" s="2">
        <v>7374</v>
      </c>
      <c r="C248" s="2">
        <v>0.21</v>
      </c>
      <c r="D248" s="2">
        <v>21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/>
      <c r="L248" s="2">
        <v>679230.86</v>
      </c>
    </row>
    <row r="249" spans="1:12">
      <c r="A249" s="2">
        <v>21536.18</v>
      </c>
      <c r="B249" s="2">
        <v>8119</v>
      </c>
      <c r="C249" s="2">
        <v>0.22700000000000001</v>
      </c>
      <c r="D249" s="2">
        <v>20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/>
      <c r="L249" s="2">
        <v>679888.74</v>
      </c>
    </row>
    <row r="250" spans="1:12">
      <c r="A250" s="2">
        <v>40923.67</v>
      </c>
      <c r="B250" s="2">
        <v>3875</v>
      </c>
      <c r="C250" s="2">
        <v>0.15</v>
      </c>
      <c r="D250" s="2">
        <v>10</v>
      </c>
      <c r="E250" s="2">
        <v>1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/>
      <c r="L250" s="2">
        <v>606783.67000000004</v>
      </c>
    </row>
    <row r="251" spans="1:12">
      <c r="A251" s="2">
        <v>72932.55</v>
      </c>
      <c r="B251" s="2">
        <v>5765</v>
      </c>
      <c r="C251" s="2">
        <v>2.5999999999999999E-2</v>
      </c>
      <c r="D251" s="2">
        <v>17</v>
      </c>
      <c r="E251" s="2">
        <v>1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/>
      <c r="L251" s="2">
        <v>642751.42000000004</v>
      </c>
    </row>
    <row r="252" spans="1:12">
      <c r="A252" s="2">
        <v>38361.93</v>
      </c>
      <c r="B252" s="2">
        <v>6322</v>
      </c>
      <c r="C252" s="2">
        <v>0.27300000000000002</v>
      </c>
      <c r="D252" s="2">
        <v>15</v>
      </c>
      <c r="E252" s="2">
        <v>1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/>
      <c r="L252" s="2">
        <v>647953.78</v>
      </c>
    </row>
    <row r="253" spans="1:12">
      <c r="A253" s="2">
        <v>97480.94</v>
      </c>
      <c r="B253" s="2">
        <v>6840</v>
      </c>
      <c r="C253" s="2">
        <v>8.6999999999999994E-2</v>
      </c>
      <c r="D253" s="2">
        <v>14</v>
      </c>
      <c r="E253" s="2">
        <v>1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/>
      <c r="L253" s="2">
        <v>729440.45</v>
      </c>
    </row>
    <row r="254" spans="1:12">
      <c r="A254" s="2">
        <v>81801.8</v>
      </c>
      <c r="B254" s="2">
        <v>6782</v>
      </c>
      <c r="C254" s="2">
        <v>0.05</v>
      </c>
      <c r="D254" s="2">
        <v>16</v>
      </c>
      <c r="E254" s="2">
        <v>0</v>
      </c>
      <c r="F254" s="2">
        <v>1</v>
      </c>
      <c r="G254" s="2">
        <v>0</v>
      </c>
      <c r="H254" s="2">
        <v>0</v>
      </c>
      <c r="I254" s="2">
        <v>0</v>
      </c>
      <c r="J254" s="2">
        <v>0</v>
      </c>
      <c r="K254" s="2"/>
      <c r="L254" s="2">
        <v>764949</v>
      </c>
    </row>
    <row r="255" spans="1:12">
      <c r="A255" s="2">
        <v>63582.11</v>
      </c>
      <c r="B255" s="2">
        <v>6856</v>
      </c>
      <c r="C255" s="2">
        <v>7.3999999999999996E-2</v>
      </c>
      <c r="D255" s="2">
        <v>17</v>
      </c>
      <c r="E255" s="2">
        <v>0</v>
      </c>
      <c r="F255" s="2">
        <v>1</v>
      </c>
      <c r="G255" s="2">
        <v>0</v>
      </c>
      <c r="H255" s="2">
        <v>0</v>
      </c>
      <c r="I255" s="2">
        <v>0</v>
      </c>
      <c r="J255" s="2">
        <v>0</v>
      </c>
      <c r="K255" s="2"/>
      <c r="L255" s="2">
        <v>799046.94</v>
      </c>
    </row>
    <row r="256" spans="1:12">
      <c r="A256" s="2">
        <v>75412.740000000005</v>
      </c>
      <c r="B256" s="2">
        <v>5641</v>
      </c>
      <c r="C256" s="2">
        <v>5.8999999999999997E-2</v>
      </c>
      <c r="D256" s="2">
        <v>13</v>
      </c>
      <c r="E256" s="2">
        <v>0</v>
      </c>
      <c r="F256" s="2">
        <v>1</v>
      </c>
      <c r="G256" s="2">
        <v>0</v>
      </c>
      <c r="H256" s="2">
        <v>0</v>
      </c>
      <c r="I256" s="2">
        <v>0</v>
      </c>
      <c r="J256" s="2">
        <v>0</v>
      </c>
      <c r="K256" s="2"/>
      <c r="L256" s="2">
        <v>720079.54</v>
      </c>
    </row>
    <row r="257" spans="1:12">
      <c r="A257" s="2">
        <v>36290.080000000002</v>
      </c>
      <c r="B257" s="2">
        <v>5787</v>
      </c>
      <c r="C257" s="2">
        <v>0</v>
      </c>
      <c r="D257" s="2">
        <v>17</v>
      </c>
      <c r="E257" s="2">
        <v>0</v>
      </c>
      <c r="F257" s="2">
        <v>1</v>
      </c>
      <c r="G257" s="2">
        <v>0</v>
      </c>
      <c r="H257" s="2">
        <v>0</v>
      </c>
      <c r="I257" s="2">
        <v>0</v>
      </c>
      <c r="J257" s="2">
        <v>0</v>
      </c>
      <c r="K257" s="2"/>
      <c r="L257" s="2">
        <v>612390.14</v>
      </c>
    </row>
    <row r="258" spans="1:12">
      <c r="A258" s="2">
        <v>65272.58</v>
      </c>
      <c r="B258" s="2">
        <v>8165</v>
      </c>
      <c r="C258" s="2">
        <v>5.0999999999999997E-2</v>
      </c>
      <c r="D258" s="2">
        <v>19</v>
      </c>
      <c r="E258" s="2">
        <v>0</v>
      </c>
      <c r="F258" s="2">
        <v>1</v>
      </c>
      <c r="G258" s="2">
        <v>0</v>
      </c>
      <c r="H258" s="2">
        <v>0</v>
      </c>
      <c r="I258" s="2">
        <v>1</v>
      </c>
      <c r="J258" s="2">
        <v>0</v>
      </c>
      <c r="K258" s="2"/>
      <c r="L258" s="2">
        <v>840108.12</v>
      </c>
    </row>
    <row r="259" spans="1:12">
      <c r="A259" s="2">
        <v>28670.43</v>
      </c>
      <c r="B259" s="2">
        <v>7574</v>
      </c>
      <c r="C259" s="2">
        <v>0.114</v>
      </c>
      <c r="D259" s="2">
        <v>19</v>
      </c>
      <c r="E259" s="2">
        <v>0</v>
      </c>
      <c r="F259" s="2">
        <v>1</v>
      </c>
      <c r="G259" s="2">
        <v>0</v>
      </c>
      <c r="H259" s="2">
        <v>0</v>
      </c>
      <c r="I259" s="2">
        <v>1</v>
      </c>
      <c r="J259" s="2">
        <v>0</v>
      </c>
      <c r="K259" s="2"/>
      <c r="L259" s="2">
        <v>697888.09</v>
      </c>
    </row>
    <row r="260" spans="1:12">
      <c r="A260" s="2">
        <v>44189.34</v>
      </c>
      <c r="B260" s="2">
        <v>8634</v>
      </c>
      <c r="C260" s="2">
        <v>0.14299999999999999</v>
      </c>
      <c r="D260" s="2">
        <v>19</v>
      </c>
      <c r="E260" s="2">
        <v>0</v>
      </c>
      <c r="F260" s="2">
        <v>1</v>
      </c>
      <c r="G260" s="2">
        <v>0</v>
      </c>
      <c r="H260" s="2">
        <v>0</v>
      </c>
      <c r="I260" s="2">
        <v>1</v>
      </c>
      <c r="J260" s="2">
        <v>0</v>
      </c>
      <c r="K260" s="2"/>
      <c r="L260" s="2">
        <v>746115.59</v>
      </c>
    </row>
    <row r="261" spans="1:12">
      <c r="A261" s="2">
        <v>38397.82</v>
      </c>
      <c r="B261" s="2">
        <v>7836</v>
      </c>
      <c r="C261" s="2">
        <v>7.0000000000000001E-3</v>
      </c>
      <c r="D261" s="2">
        <v>21</v>
      </c>
      <c r="E261" s="2">
        <v>0</v>
      </c>
      <c r="F261" s="2">
        <v>1</v>
      </c>
      <c r="G261" s="2">
        <v>0</v>
      </c>
      <c r="H261" s="2">
        <v>0</v>
      </c>
      <c r="I261" s="2">
        <v>1</v>
      </c>
      <c r="J261" s="2">
        <v>0</v>
      </c>
      <c r="K261" s="2"/>
      <c r="L261" s="2">
        <v>776110.32</v>
      </c>
    </row>
    <row r="262" spans="1:12">
      <c r="A262" s="2">
        <v>14519.37</v>
      </c>
      <c r="B262" s="2">
        <v>3047</v>
      </c>
      <c r="C262" s="2">
        <v>0.13500000000000001</v>
      </c>
      <c r="D262" s="2">
        <v>10</v>
      </c>
      <c r="E262" s="2">
        <v>0</v>
      </c>
      <c r="F262" s="2">
        <v>0</v>
      </c>
      <c r="G262" s="2">
        <v>1</v>
      </c>
      <c r="H262" s="2">
        <v>0</v>
      </c>
      <c r="I262" s="2">
        <v>0</v>
      </c>
      <c r="J262" s="2">
        <v>0</v>
      </c>
      <c r="K262" s="2"/>
      <c r="L262" s="2">
        <v>528852.62</v>
      </c>
    </row>
    <row r="263" spans="1:12">
      <c r="A263" s="2">
        <v>43288.2</v>
      </c>
      <c r="B263" s="2">
        <v>4783</v>
      </c>
      <c r="C263" s="2">
        <v>0.16900000000000001</v>
      </c>
      <c r="D263" s="2">
        <v>13</v>
      </c>
      <c r="E263" s="2">
        <v>0</v>
      </c>
      <c r="F263" s="2">
        <v>0</v>
      </c>
      <c r="G263" s="2">
        <v>1</v>
      </c>
      <c r="H263" s="2">
        <v>0</v>
      </c>
      <c r="I263" s="2">
        <v>0</v>
      </c>
      <c r="J263" s="2">
        <v>0</v>
      </c>
      <c r="K263" s="2"/>
      <c r="L263" s="2">
        <v>605751.32999999996</v>
      </c>
    </row>
    <row r="264" spans="1:12">
      <c r="A264" s="2">
        <v>51450.55</v>
      </c>
      <c r="B264" s="2">
        <v>4902</v>
      </c>
      <c r="C264" s="2">
        <v>8.5999999999999993E-2</v>
      </c>
      <c r="D264" s="2">
        <v>11</v>
      </c>
      <c r="E264" s="2">
        <v>0</v>
      </c>
      <c r="F264" s="2">
        <v>0</v>
      </c>
      <c r="G264" s="2">
        <v>1</v>
      </c>
      <c r="H264" s="2">
        <v>0</v>
      </c>
      <c r="I264" s="2">
        <v>0</v>
      </c>
      <c r="J264" s="2">
        <v>0</v>
      </c>
      <c r="K264" s="2"/>
      <c r="L264" s="2">
        <v>677640.65</v>
      </c>
    </row>
    <row r="265" spans="1:12">
      <c r="A265" s="2">
        <v>58688.26</v>
      </c>
      <c r="B265" s="2">
        <v>4022</v>
      </c>
      <c r="C265" s="2">
        <v>0.217</v>
      </c>
      <c r="D265" s="2">
        <v>12</v>
      </c>
      <c r="E265" s="2">
        <v>0</v>
      </c>
      <c r="F265" s="2">
        <v>0</v>
      </c>
      <c r="G265" s="2">
        <v>1</v>
      </c>
      <c r="H265" s="2">
        <v>0</v>
      </c>
      <c r="I265" s="2">
        <v>0</v>
      </c>
      <c r="J265" s="2">
        <v>0</v>
      </c>
      <c r="K265" s="2"/>
      <c r="L265" s="2">
        <v>636613.23</v>
      </c>
    </row>
    <row r="266" spans="1:12">
      <c r="A266" s="2">
        <v>58981.91</v>
      </c>
      <c r="B266" s="2">
        <v>7324</v>
      </c>
      <c r="C266" s="2">
        <v>9.4E-2</v>
      </c>
      <c r="D266" s="2">
        <v>15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/>
      <c r="L266" s="2">
        <v>708985.19</v>
      </c>
    </row>
    <row r="267" spans="1:12">
      <c r="A267" s="2">
        <v>73454.539999999994</v>
      </c>
      <c r="B267" s="2">
        <v>8129</v>
      </c>
      <c r="C267" s="2">
        <v>0.21099999999999999</v>
      </c>
      <c r="D267" s="2">
        <v>20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/>
      <c r="L267" s="2">
        <v>767792.94</v>
      </c>
    </row>
    <row r="268" spans="1:12">
      <c r="A268" s="2">
        <v>56602.39</v>
      </c>
      <c r="B268" s="2">
        <v>7969</v>
      </c>
      <c r="C268" s="2">
        <v>0.17</v>
      </c>
      <c r="D268" s="2">
        <v>21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/>
      <c r="L268" s="2">
        <v>745580.51</v>
      </c>
    </row>
    <row r="269" spans="1:12">
      <c r="A269" s="2">
        <v>67722.289999999994</v>
      </c>
      <c r="B269" s="2">
        <v>7240</v>
      </c>
      <c r="C269" s="2">
        <v>2.5999999999999999E-2</v>
      </c>
      <c r="D269" s="2">
        <v>15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/>
      <c r="L269" s="2">
        <v>762328.31</v>
      </c>
    </row>
    <row r="270" spans="1:12">
      <c r="A270" s="2">
        <v>48752.92</v>
      </c>
      <c r="B270" s="2">
        <v>8052</v>
      </c>
      <c r="C270" s="2">
        <v>0.106</v>
      </c>
      <c r="D270" s="2">
        <v>16</v>
      </c>
      <c r="E270" s="2">
        <v>0</v>
      </c>
      <c r="F270" s="2">
        <v>0</v>
      </c>
      <c r="G270" s="2">
        <v>0</v>
      </c>
      <c r="H270" s="2">
        <v>0</v>
      </c>
      <c r="I270" s="2">
        <v>1</v>
      </c>
      <c r="J270" s="2">
        <v>0</v>
      </c>
      <c r="K270" s="2"/>
      <c r="L270" s="2">
        <v>660633.99</v>
      </c>
    </row>
    <row r="271" spans="1:12">
      <c r="A271" s="2">
        <v>23914.97</v>
      </c>
      <c r="B271" s="2">
        <v>8018</v>
      </c>
      <c r="C271" s="2">
        <v>0.13900000000000001</v>
      </c>
      <c r="D271" s="2">
        <v>20</v>
      </c>
      <c r="E271" s="2">
        <v>0</v>
      </c>
      <c r="F271" s="2">
        <v>0</v>
      </c>
      <c r="G271" s="2">
        <v>0</v>
      </c>
      <c r="H271" s="2">
        <v>0</v>
      </c>
      <c r="I271" s="2">
        <v>1</v>
      </c>
      <c r="J271" s="2">
        <v>0</v>
      </c>
      <c r="K271" s="2"/>
      <c r="L271" s="2">
        <v>739374.56</v>
      </c>
    </row>
    <row r="272" spans="1:12">
      <c r="A272" s="2">
        <v>61995.3</v>
      </c>
      <c r="B272" s="2">
        <v>10192</v>
      </c>
      <c r="C272" s="2">
        <v>0.19800000000000001</v>
      </c>
      <c r="D272" s="2">
        <v>21</v>
      </c>
      <c r="E272" s="2">
        <v>0</v>
      </c>
      <c r="F272" s="2">
        <v>0</v>
      </c>
      <c r="G272" s="2">
        <v>0</v>
      </c>
      <c r="H272" s="2">
        <v>0</v>
      </c>
      <c r="I272" s="2">
        <v>1</v>
      </c>
      <c r="J272" s="2">
        <v>0</v>
      </c>
      <c r="K272" s="2"/>
      <c r="L272" s="2">
        <v>799756.46</v>
      </c>
    </row>
    <row r="273" spans="1:12">
      <c r="A273" s="2">
        <v>29344.93</v>
      </c>
      <c r="B273" s="2">
        <v>7446</v>
      </c>
      <c r="C273" s="2">
        <v>0.111</v>
      </c>
      <c r="D273" s="2">
        <v>15</v>
      </c>
      <c r="E273" s="2">
        <v>0</v>
      </c>
      <c r="F273" s="2">
        <v>0</v>
      </c>
      <c r="G273" s="2">
        <v>0</v>
      </c>
      <c r="H273" s="2">
        <v>0</v>
      </c>
      <c r="I273" s="2">
        <v>1</v>
      </c>
      <c r="J273" s="2">
        <v>0</v>
      </c>
      <c r="K273" s="2"/>
      <c r="L273" s="2">
        <v>593343</v>
      </c>
    </row>
    <row r="274" spans="1:12">
      <c r="A274" s="2">
        <v>50532.17</v>
      </c>
      <c r="B274" s="2">
        <v>5689</v>
      </c>
      <c r="C274" s="2">
        <v>5.1999999999999998E-2</v>
      </c>
      <c r="D274" s="2">
        <v>17</v>
      </c>
      <c r="E274" s="2">
        <v>0</v>
      </c>
      <c r="F274" s="2">
        <v>0</v>
      </c>
      <c r="G274" s="2">
        <v>1</v>
      </c>
      <c r="H274" s="2">
        <v>0</v>
      </c>
      <c r="I274" s="2">
        <v>0</v>
      </c>
      <c r="J274" s="2">
        <v>0</v>
      </c>
      <c r="K274" s="2"/>
      <c r="L274" s="2">
        <v>645039.97</v>
      </c>
    </row>
    <row r="275" spans="1:12">
      <c r="A275" s="2">
        <v>17562.57</v>
      </c>
      <c r="B275" s="2">
        <v>3326</v>
      </c>
      <c r="C275" s="2">
        <v>0.153</v>
      </c>
      <c r="D275" s="2">
        <v>14</v>
      </c>
      <c r="E275" s="2">
        <v>0</v>
      </c>
      <c r="F275" s="2">
        <v>0</v>
      </c>
      <c r="G275" s="2">
        <v>1</v>
      </c>
      <c r="H275" s="2">
        <v>0</v>
      </c>
      <c r="I275" s="2">
        <v>0</v>
      </c>
      <c r="J275" s="2">
        <v>0</v>
      </c>
      <c r="K275" s="2"/>
      <c r="L275" s="2">
        <v>561597.32999999996</v>
      </c>
    </row>
    <row r="276" spans="1:12">
      <c r="A276" s="2">
        <v>47648.71</v>
      </c>
      <c r="B276" s="2">
        <v>5767</v>
      </c>
      <c r="C276" s="2">
        <v>0.14099999999999999</v>
      </c>
      <c r="D276" s="2">
        <v>17</v>
      </c>
      <c r="E276" s="2">
        <v>0</v>
      </c>
      <c r="F276" s="2">
        <v>0</v>
      </c>
      <c r="G276" s="2">
        <v>1</v>
      </c>
      <c r="H276" s="2">
        <v>0</v>
      </c>
      <c r="I276" s="2">
        <v>0</v>
      </c>
      <c r="J276" s="2">
        <v>0</v>
      </c>
      <c r="K276" s="2"/>
      <c r="L276" s="2">
        <v>635837.74</v>
      </c>
    </row>
    <row r="277" spans="1:12">
      <c r="A277" s="2">
        <v>38297.58</v>
      </c>
      <c r="B277" s="2">
        <v>5893</v>
      </c>
      <c r="C277" s="2">
        <v>0.247</v>
      </c>
      <c r="D277" s="2">
        <v>18</v>
      </c>
      <c r="E277" s="2">
        <v>0</v>
      </c>
      <c r="F277" s="2">
        <v>0</v>
      </c>
      <c r="G277" s="2">
        <v>1</v>
      </c>
      <c r="H277" s="2">
        <v>0</v>
      </c>
      <c r="I277" s="2">
        <v>0</v>
      </c>
      <c r="J277" s="2">
        <v>0</v>
      </c>
      <c r="K277" s="2"/>
      <c r="L277" s="2">
        <v>686737.87</v>
      </c>
    </row>
    <row r="278" spans="1:12">
      <c r="A278" s="2">
        <v>61784.11</v>
      </c>
      <c r="B278" s="2">
        <v>8564</v>
      </c>
      <c r="C278" s="2">
        <v>0.13</v>
      </c>
      <c r="D278" s="2">
        <v>17</v>
      </c>
      <c r="E278" s="2">
        <v>0</v>
      </c>
      <c r="F278" s="2">
        <v>1</v>
      </c>
      <c r="G278" s="2">
        <v>0</v>
      </c>
      <c r="H278" s="2">
        <v>0</v>
      </c>
      <c r="I278" s="2">
        <v>0</v>
      </c>
      <c r="J278" s="2">
        <v>1</v>
      </c>
      <c r="K278" s="2"/>
      <c r="L278" s="2">
        <v>673076.34</v>
      </c>
    </row>
    <row r="279" spans="1:12">
      <c r="A279" s="2">
        <v>36832.33</v>
      </c>
      <c r="B279" s="2">
        <v>8001</v>
      </c>
      <c r="C279" s="2">
        <v>0</v>
      </c>
      <c r="D279" s="2">
        <v>19</v>
      </c>
      <c r="E279" s="2">
        <v>0</v>
      </c>
      <c r="F279" s="2">
        <v>1</v>
      </c>
      <c r="G279" s="2">
        <v>0</v>
      </c>
      <c r="H279" s="2">
        <v>0</v>
      </c>
      <c r="I279" s="2">
        <v>0</v>
      </c>
      <c r="J279" s="2">
        <v>1</v>
      </c>
      <c r="K279" s="2"/>
      <c r="L279" s="2">
        <v>738548.42</v>
      </c>
    </row>
    <row r="280" spans="1:12">
      <c r="A280" s="2">
        <v>48609.41</v>
      </c>
      <c r="B280" s="2">
        <v>9324</v>
      </c>
      <c r="C280" s="2">
        <v>0.21299999999999999</v>
      </c>
      <c r="D280" s="2">
        <v>18</v>
      </c>
      <c r="E280" s="2">
        <v>0</v>
      </c>
      <c r="F280" s="2">
        <v>1</v>
      </c>
      <c r="G280" s="2">
        <v>0</v>
      </c>
      <c r="H280" s="2">
        <v>0</v>
      </c>
      <c r="I280" s="2">
        <v>0</v>
      </c>
      <c r="J280" s="2">
        <v>1</v>
      </c>
      <c r="K280" s="2"/>
      <c r="L280" s="2">
        <v>756619.77</v>
      </c>
    </row>
    <row r="281" spans="1:12">
      <c r="A281" s="2">
        <v>70284.06</v>
      </c>
      <c r="B281" s="2">
        <v>9109</v>
      </c>
      <c r="C281" s="2">
        <v>4.0000000000000001E-3</v>
      </c>
      <c r="D281" s="2">
        <v>23</v>
      </c>
      <c r="E281" s="2">
        <v>0</v>
      </c>
      <c r="F281" s="2">
        <v>1</v>
      </c>
      <c r="G281" s="2">
        <v>0</v>
      </c>
      <c r="H281" s="2">
        <v>0</v>
      </c>
      <c r="I281" s="2">
        <v>0</v>
      </c>
      <c r="J281" s="2">
        <v>1</v>
      </c>
      <c r="K281" s="2"/>
      <c r="L281" s="2">
        <v>761122.42</v>
      </c>
    </row>
    <row r="282" spans="1:12">
      <c r="A282" s="2">
        <v>45940.39</v>
      </c>
      <c r="B282" s="2">
        <v>4022</v>
      </c>
      <c r="C282" s="2">
        <v>6.9000000000000006E-2</v>
      </c>
      <c r="D282" s="2">
        <v>10</v>
      </c>
      <c r="E282" s="2">
        <v>0</v>
      </c>
      <c r="F282" s="2">
        <v>1</v>
      </c>
      <c r="G282" s="2">
        <v>0</v>
      </c>
      <c r="H282" s="2">
        <v>0</v>
      </c>
      <c r="I282" s="2">
        <v>0</v>
      </c>
      <c r="J282" s="2">
        <v>0</v>
      </c>
      <c r="K282" s="2"/>
      <c r="L282" s="2">
        <v>524899.56999999995</v>
      </c>
    </row>
    <row r="283" spans="1:12">
      <c r="A283" s="2">
        <v>34771.26</v>
      </c>
      <c r="B283" s="2">
        <v>4355</v>
      </c>
      <c r="C283" s="2">
        <v>5.0999999999999997E-2</v>
      </c>
      <c r="D283" s="2">
        <v>15</v>
      </c>
      <c r="E283" s="2">
        <v>0</v>
      </c>
      <c r="F283" s="2">
        <v>1</v>
      </c>
      <c r="G283" s="2">
        <v>0</v>
      </c>
      <c r="H283" s="2">
        <v>0</v>
      </c>
      <c r="I283" s="2">
        <v>0</v>
      </c>
      <c r="J283" s="2">
        <v>0</v>
      </c>
      <c r="K283" s="2"/>
      <c r="L283" s="2">
        <v>555557.77</v>
      </c>
    </row>
    <row r="284" spans="1:12">
      <c r="A284" s="2">
        <v>66104.19</v>
      </c>
      <c r="B284" s="2">
        <v>5745</v>
      </c>
      <c r="C284" s="2">
        <v>7.0000000000000007E-2</v>
      </c>
      <c r="D284" s="2">
        <v>17</v>
      </c>
      <c r="E284" s="2">
        <v>0</v>
      </c>
      <c r="F284" s="2">
        <v>1</v>
      </c>
      <c r="G284" s="2">
        <v>0</v>
      </c>
      <c r="H284" s="2">
        <v>0</v>
      </c>
      <c r="I284" s="2">
        <v>0</v>
      </c>
      <c r="J284" s="2">
        <v>0</v>
      </c>
      <c r="K284" s="2"/>
      <c r="L284" s="2">
        <v>714083.68</v>
      </c>
    </row>
    <row r="285" spans="1:12">
      <c r="A285" s="2">
        <v>18599.21</v>
      </c>
      <c r="B285" s="2">
        <v>3027</v>
      </c>
      <c r="C285" s="2">
        <v>0.122</v>
      </c>
      <c r="D285" s="2">
        <v>11</v>
      </c>
      <c r="E285" s="2">
        <v>0</v>
      </c>
      <c r="F285" s="2">
        <v>1</v>
      </c>
      <c r="G285" s="2">
        <v>0</v>
      </c>
      <c r="H285" s="2">
        <v>0</v>
      </c>
      <c r="I285" s="2">
        <v>0</v>
      </c>
      <c r="J285" s="2">
        <v>0</v>
      </c>
      <c r="K285" s="2"/>
      <c r="L285" s="2">
        <v>497439.82</v>
      </c>
    </row>
    <row r="286" spans="1:12">
      <c r="A286" s="2">
        <v>60183.06</v>
      </c>
      <c r="B286" s="2">
        <v>5562</v>
      </c>
      <c r="C286" s="2">
        <v>8.9999999999999993E-3</v>
      </c>
      <c r="D286" s="2">
        <v>13</v>
      </c>
      <c r="E286" s="2">
        <v>0</v>
      </c>
      <c r="F286" s="2">
        <v>0</v>
      </c>
      <c r="G286" s="2">
        <v>1</v>
      </c>
      <c r="H286" s="2">
        <v>0</v>
      </c>
      <c r="I286" s="2">
        <v>0</v>
      </c>
      <c r="J286" s="2">
        <v>1</v>
      </c>
      <c r="K286" s="2"/>
      <c r="L286" s="2">
        <v>636775.66</v>
      </c>
    </row>
    <row r="287" spans="1:12">
      <c r="A287" s="2">
        <v>74539.14</v>
      </c>
      <c r="B287" s="2">
        <v>4487</v>
      </c>
      <c r="C287" s="2">
        <v>0.14000000000000001</v>
      </c>
      <c r="D287" s="2">
        <v>10</v>
      </c>
      <c r="E287" s="2">
        <v>0</v>
      </c>
      <c r="F287" s="2">
        <v>0</v>
      </c>
      <c r="G287" s="2">
        <v>1</v>
      </c>
      <c r="H287" s="2">
        <v>0</v>
      </c>
      <c r="I287" s="2">
        <v>0</v>
      </c>
      <c r="J287" s="2">
        <v>1</v>
      </c>
      <c r="K287" s="2"/>
      <c r="L287" s="2">
        <v>633009.53</v>
      </c>
    </row>
    <row r="288" spans="1:12">
      <c r="A288" s="2">
        <v>55371.97</v>
      </c>
      <c r="B288" s="2">
        <v>4162</v>
      </c>
      <c r="C288" s="2">
        <v>0.183</v>
      </c>
      <c r="D288" s="2">
        <v>11</v>
      </c>
      <c r="E288" s="2">
        <v>0</v>
      </c>
      <c r="F288" s="2">
        <v>0</v>
      </c>
      <c r="G288" s="2">
        <v>1</v>
      </c>
      <c r="H288" s="2">
        <v>0</v>
      </c>
      <c r="I288" s="2">
        <v>0</v>
      </c>
      <c r="J288" s="2">
        <v>1</v>
      </c>
      <c r="K288" s="2"/>
      <c r="L288" s="2">
        <v>609949</v>
      </c>
    </row>
    <row r="289" spans="1:12">
      <c r="A289" s="2">
        <v>40928.69</v>
      </c>
      <c r="B289" s="2">
        <v>4094</v>
      </c>
      <c r="C289" s="2">
        <v>0.17399999999999999</v>
      </c>
      <c r="D289" s="2">
        <v>13</v>
      </c>
      <c r="E289" s="2">
        <v>0</v>
      </c>
      <c r="F289" s="2">
        <v>0</v>
      </c>
      <c r="G289" s="2">
        <v>1</v>
      </c>
      <c r="H289" s="2">
        <v>0</v>
      </c>
      <c r="I289" s="2">
        <v>0</v>
      </c>
      <c r="J289" s="2">
        <v>1</v>
      </c>
      <c r="K289" s="2"/>
      <c r="L289" s="2">
        <v>548103.69999999995</v>
      </c>
    </row>
    <row r="290" spans="1:12">
      <c r="A290" s="2">
        <v>70012.41</v>
      </c>
      <c r="B290" s="2">
        <v>8484</v>
      </c>
      <c r="C290" s="2">
        <v>0.27300000000000002</v>
      </c>
      <c r="D290" s="2">
        <v>23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1</v>
      </c>
      <c r="K290" s="2"/>
      <c r="L290" s="2">
        <v>729424.42</v>
      </c>
    </row>
    <row r="291" spans="1:12">
      <c r="A291" s="2">
        <v>68909.259999999995</v>
      </c>
      <c r="B291" s="2">
        <v>7794</v>
      </c>
      <c r="C291" s="2">
        <v>0.28399999999999997</v>
      </c>
      <c r="D291" s="2">
        <v>22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1</v>
      </c>
      <c r="K291" s="2"/>
      <c r="L291" s="2">
        <v>696261.49</v>
      </c>
    </row>
    <row r="292" spans="1:12">
      <c r="A292" s="2">
        <v>56737.3</v>
      </c>
      <c r="B292" s="2">
        <v>8300</v>
      </c>
      <c r="C292" s="2">
        <v>3.2000000000000001E-2</v>
      </c>
      <c r="D292" s="2">
        <v>21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1</v>
      </c>
      <c r="K292" s="2"/>
      <c r="L292" s="2">
        <v>813316.71</v>
      </c>
    </row>
    <row r="293" spans="1:12">
      <c r="A293" s="2">
        <v>54080.91</v>
      </c>
      <c r="B293" s="2">
        <v>7083</v>
      </c>
      <c r="C293" s="2">
        <v>0</v>
      </c>
      <c r="D293" s="2">
        <v>15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1</v>
      </c>
      <c r="K293" s="2"/>
      <c r="L293" s="2">
        <v>702068.92</v>
      </c>
    </row>
    <row r="294" spans="1:12">
      <c r="A294" s="2">
        <v>51996.32</v>
      </c>
      <c r="B294" s="2">
        <v>3834</v>
      </c>
      <c r="C294" s="2">
        <v>9.6000000000000002E-2</v>
      </c>
      <c r="D294" s="2">
        <v>8</v>
      </c>
      <c r="E294" s="2">
        <v>0</v>
      </c>
      <c r="F294" s="2">
        <v>0</v>
      </c>
      <c r="G294" s="2">
        <v>1</v>
      </c>
      <c r="H294" s="2">
        <v>0</v>
      </c>
      <c r="I294" s="2">
        <v>0</v>
      </c>
      <c r="J294" s="2">
        <v>0</v>
      </c>
      <c r="K294" s="2"/>
      <c r="L294" s="2">
        <v>546223.69999999995</v>
      </c>
    </row>
    <row r="295" spans="1:12">
      <c r="A295" s="2">
        <v>40102.879999999997</v>
      </c>
      <c r="B295" s="2">
        <v>2358</v>
      </c>
      <c r="C295" s="2">
        <v>0.11899999999999999</v>
      </c>
      <c r="D295" s="2">
        <v>9</v>
      </c>
      <c r="E295" s="2">
        <v>0</v>
      </c>
      <c r="F295" s="2">
        <v>0</v>
      </c>
      <c r="G295" s="2">
        <v>1</v>
      </c>
      <c r="H295" s="2">
        <v>0</v>
      </c>
      <c r="I295" s="2">
        <v>0</v>
      </c>
      <c r="J295" s="2">
        <v>0</v>
      </c>
      <c r="K295" s="2"/>
      <c r="L295" s="2">
        <v>533121.26</v>
      </c>
    </row>
    <row r="296" spans="1:12">
      <c r="A296" s="2">
        <v>59825.51</v>
      </c>
      <c r="B296" s="2">
        <v>1231</v>
      </c>
      <c r="C296" s="2">
        <v>0.214</v>
      </c>
      <c r="D296" s="2">
        <v>10</v>
      </c>
      <c r="E296" s="2">
        <v>0</v>
      </c>
      <c r="F296" s="2">
        <v>0</v>
      </c>
      <c r="G296" s="2">
        <v>1</v>
      </c>
      <c r="H296" s="2">
        <v>0</v>
      </c>
      <c r="I296" s="2">
        <v>0</v>
      </c>
      <c r="J296" s="2">
        <v>0</v>
      </c>
      <c r="K296" s="2"/>
      <c r="L296" s="2">
        <v>498970.32</v>
      </c>
    </row>
    <row r="297" spans="1:12">
      <c r="A297" s="2">
        <v>27398.28</v>
      </c>
      <c r="B297" s="2">
        <v>1723</v>
      </c>
      <c r="C297" s="2">
        <v>0.17100000000000001</v>
      </c>
      <c r="D297" s="2">
        <v>9</v>
      </c>
      <c r="E297" s="2">
        <v>0</v>
      </c>
      <c r="F297" s="2">
        <v>0</v>
      </c>
      <c r="G297" s="2">
        <v>1</v>
      </c>
      <c r="H297" s="2">
        <v>0</v>
      </c>
      <c r="I297" s="2">
        <v>0</v>
      </c>
      <c r="J297" s="2">
        <v>0</v>
      </c>
      <c r="K297" s="2"/>
      <c r="L297" s="2">
        <v>487738.26</v>
      </c>
    </row>
    <row r="298" spans="1:12">
      <c r="A298" s="2">
        <v>55599.56</v>
      </c>
      <c r="B298" s="2">
        <v>5896</v>
      </c>
      <c r="C298" s="2">
        <v>3.5999999999999997E-2</v>
      </c>
      <c r="D298" s="2">
        <v>12</v>
      </c>
      <c r="E298" s="2">
        <v>0</v>
      </c>
      <c r="F298" s="2">
        <v>0</v>
      </c>
      <c r="G298" s="2">
        <v>1</v>
      </c>
      <c r="H298" s="2">
        <v>0</v>
      </c>
      <c r="I298" s="2">
        <v>0</v>
      </c>
      <c r="J298" s="2">
        <v>0</v>
      </c>
      <c r="K298" s="2"/>
      <c r="L298" s="2">
        <v>668459.37</v>
      </c>
    </row>
    <row r="299" spans="1:12">
      <c r="A299" s="2">
        <v>55477.61</v>
      </c>
      <c r="B299" s="2">
        <v>5903</v>
      </c>
      <c r="C299" s="2">
        <v>0.10199999999999999</v>
      </c>
      <c r="D299" s="2">
        <v>14</v>
      </c>
      <c r="E299" s="2">
        <v>0</v>
      </c>
      <c r="F299" s="2">
        <v>0</v>
      </c>
      <c r="G299" s="2">
        <v>1</v>
      </c>
      <c r="H299" s="2">
        <v>0</v>
      </c>
      <c r="I299" s="2">
        <v>0</v>
      </c>
      <c r="J299" s="2">
        <v>0</v>
      </c>
      <c r="K299" s="2"/>
      <c r="L299" s="2">
        <v>763162.45</v>
      </c>
    </row>
    <row r="300" spans="1:12">
      <c r="A300" s="2">
        <v>46174.7</v>
      </c>
      <c r="B300" s="2">
        <v>4898</v>
      </c>
      <c r="C300" s="2">
        <v>0.114</v>
      </c>
      <c r="D300" s="2">
        <v>11</v>
      </c>
      <c r="E300" s="2">
        <v>0</v>
      </c>
      <c r="F300" s="2">
        <v>0</v>
      </c>
      <c r="G300" s="2">
        <v>1</v>
      </c>
      <c r="H300" s="2">
        <v>0</v>
      </c>
      <c r="I300" s="2">
        <v>0</v>
      </c>
      <c r="J300" s="2">
        <v>0</v>
      </c>
      <c r="K300" s="2"/>
      <c r="L300" s="2">
        <v>599017.32999999996</v>
      </c>
    </row>
    <row r="301" spans="1:12">
      <c r="A301" s="2">
        <v>24362.98</v>
      </c>
      <c r="B301" s="2">
        <v>1462</v>
      </c>
      <c r="C301" s="2">
        <v>0.11700000000000001</v>
      </c>
      <c r="D301" s="2">
        <v>6</v>
      </c>
      <c r="E301" s="2">
        <v>0</v>
      </c>
      <c r="F301" s="2">
        <v>0</v>
      </c>
      <c r="G301" s="2">
        <v>1</v>
      </c>
      <c r="H301" s="2">
        <v>0</v>
      </c>
      <c r="I301" s="2">
        <v>0</v>
      </c>
      <c r="J301" s="2">
        <v>0</v>
      </c>
      <c r="K301" s="2"/>
      <c r="L301" s="2">
        <v>401582.58</v>
      </c>
    </row>
    <row r="302" spans="1:12">
      <c r="A302" s="2">
        <v>40647.67</v>
      </c>
      <c r="B302" s="2">
        <v>8252</v>
      </c>
      <c r="C302" s="2">
        <v>0.14099999999999999</v>
      </c>
      <c r="D302" s="2">
        <v>22</v>
      </c>
      <c r="E302" s="2">
        <v>1</v>
      </c>
      <c r="F302" s="2">
        <v>0</v>
      </c>
      <c r="G302" s="2">
        <v>0</v>
      </c>
      <c r="H302" s="2">
        <v>0</v>
      </c>
      <c r="I302" s="2">
        <v>1</v>
      </c>
      <c r="J302" s="2">
        <v>0</v>
      </c>
      <c r="K302" s="2"/>
      <c r="L302" s="2">
        <v>703812.99</v>
      </c>
    </row>
    <row r="303" spans="1:12">
      <c r="A303" s="2">
        <v>63986.98</v>
      </c>
      <c r="B303" s="2">
        <v>7989</v>
      </c>
      <c r="C303" s="2">
        <v>7.3999999999999996E-2</v>
      </c>
      <c r="D303" s="2">
        <v>20</v>
      </c>
      <c r="E303" s="2">
        <v>1</v>
      </c>
      <c r="F303" s="2">
        <v>0</v>
      </c>
      <c r="G303" s="2">
        <v>0</v>
      </c>
      <c r="H303" s="2">
        <v>0</v>
      </c>
      <c r="I303" s="2">
        <v>1</v>
      </c>
      <c r="J303" s="2">
        <v>0</v>
      </c>
      <c r="K303" s="2"/>
      <c r="L303" s="2">
        <v>724346.73</v>
      </c>
    </row>
    <row r="304" spans="1:12">
      <c r="A304" s="2">
        <v>52843.75</v>
      </c>
      <c r="B304" s="2">
        <v>8268</v>
      </c>
      <c r="C304" s="2">
        <v>0.13800000000000001</v>
      </c>
      <c r="D304" s="2">
        <v>19</v>
      </c>
      <c r="E304" s="2">
        <v>1</v>
      </c>
      <c r="F304" s="2">
        <v>0</v>
      </c>
      <c r="G304" s="2">
        <v>0</v>
      </c>
      <c r="H304" s="2">
        <v>0</v>
      </c>
      <c r="I304" s="2">
        <v>1</v>
      </c>
      <c r="J304" s="2">
        <v>0</v>
      </c>
      <c r="K304" s="2"/>
      <c r="L304" s="2">
        <v>730890.01</v>
      </c>
    </row>
    <row r="305" spans="1:12">
      <c r="A305" s="2">
        <v>31997.25</v>
      </c>
      <c r="B305" s="2">
        <v>8183</v>
      </c>
      <c r="C305" s="2">
        <v>0.19800000000000001</v>
      </c>
      <c r="D305" s="2">
        <v>18</v>
      </c>
      <c r="E305" s="2">
        <v>1</v>
      </c>
      <c r="F305" s="2">
        <v>0</v>
      </c>
      <c r="G305" s="2">
        <v>0</v>
      </c>
      <c r="H305" s="2">
        <v>0</v>
      </c>
      <c r="I305" s="2">
        <v>1</v>
      </c>
      <c r="J305" s="2">
        <v>0</v>
      </c>
      <c r="K305" s="2"/>
      <c r="L305" s="2">
        <v>780580.95</v>
      </c>
    </row>
    <row r="306" spans="1:12">
      <c r="A306" s="2">
        <v>54948.02</v>
      </c>
      <c r="B306" s="2">
        <v>6534</v>
      </c>
      <c r="C306" s="2">
        <v>0.183</v>
      </c>
      <c r="D306" s="2">
        <v>14</v>
      </c>
      <c r="E306" s="2">
        <v>0</v>
      </c>
      <c r="F306" s="2">
        <v>1</v>
      </c>
      <c r="G306" s="2">
        <v>0</v>
      </c>
      <c r="H306" s="2">
        <v>0</v>
      </c>
      <c r="I306" s="2">
        <v>0</v>
      </c>
      <c r="J306" s="2">
        <v>1</v>
      </c>
      <c r="K306" s="2"/>
      <c r="L306" s="2">
        <v>727957.48</v>
      </c>
    </row>
    <row r="307" spans="1:12">
      <c r="A307" s="2">
        <v>46146.239999999998</v>
      </c>
      <c r="B307" s="2">
        <v>5804</v>
      </c>
      <c r="C307" s="2">
        <v>4.7E-2</v>
      </c>
      <c r="D307" s="2">
        <v>16</v>
      </c>
      <c r="E307" s="2">
        <v>0</v>
      </c>
      <c r="F307" s="2">
        <v>1</v>
      </c>
      <c r="G307" s="2">
        <v>0</v>
      </c>
      <c r="H307" s="2">
        <v>0</v>
      </c>
      <c r="I307" s="2">
        <v>0</v>
      </c>
      <c r="J307" s="2">
        <v>1</v>
      </c>
      <c r="K307" s="2"/>
      <c r="L307" s="2">
        <v>538376</v>
      </c>
    </row>
    <row r="308" spans="1:12">
      <c r="A308" s="2">
        <v>22387.26</v>
      </c>
      <c r="B308" s="2">
        <v>6301</v>
      </c>
      <c r="C308" s="2">
        <v>0.14599999999999999</v>
      </c>
      <c r="D308" s="2">
        <v>14</v>
      </c>
      <c r="E308" s="2">
        <v>0</v>
      </c>
      <c r="F308" s="2">
        <v>1</v>
      </c>
      <c r="G308" s="2">
        <v>0</v>
      </c>
      <c r="H308" s="2">
        <v>0</v>
      </c>
      <c r="I308" s="2">
        <v>0</v>
      </c>
      <c r="J308" s="2">
        <v>1</v>
      </c>
      <c r="K308" s="2"/>
      <c r="L308" s="2">
        <v>665342.49</v>
      </c>
    </row>
    <row r="309" spans="1:12">
      <c r="A309" s="2">
        <v>60684.05</v>
      </c>
      <c r="B309" s="2">
        <v>6399</v>
      </c>
      <c r="C309" s="2">
        <v>7.4999999999999997E-2</v>
      </c>
      <c r="D309" s="2">
        <v>16</v>
      </c>
      <c r="E309" s="2">
        <v>0</v>
      </c>
      <c r="F309" s="2">
        <v>1</v>
      </c>
      <c r="G309" s="2">
        <v>0</v>
      </c>
      <c r="H309" s="2">
        <v>0</v>
      </c>
      <c r="I309" s="2">
        <v>0</v>
      </c>
      <c r="J309" s="2">
        <v>1</v>
      </c>
      <c r="K309" s="2"/>
      <c r="L309" s="2">
        <v>651164.18000000005</v>
      </c>
    </row>
    <row r="310" spans="1:12">
      <c r="A310" s="2">
        <v>48465.599999999999</v>
      </c>
      <c r="B310" s="2">
        <v>5759</v>
      </c>
      <c r="C310" s="2">
        <v>0.154</v>
      </c>
      <c r="D310" s="2">
        <v>13</v>
      </c>
      <c r="E310" s="2">
        <v>0</v>
      </c>
      <c r="F310" s="2">
        <v>1</v>
      </c>
      <c r="G310" s="2">
        <v>0</v>
      </c>
      <c r="H310" s="2">
        <v>0</v>
      </c>
      <c r="I310" s="2">
        <v>0</v>
      </c>
      <c r="J310" s="2">
        <v>0</v>
      </c>
      <c r="K310" s="2"/>
      <c r="L310" s="2">
        <v>628538.30000000005</v>
      </c>
    </row>
    <row r="311" spans="1:12">
      <c r="A311" s="2">
        <v>23702.38</v>
      </c>
      <c r="B311" s="2">
        <v>5285</v>
      </c>
      <c r="C311" s="2">
        <v>0.16700000000000001</v>
      </c>
      <c r="D311" s="2">
        <v>14</v>
      </c>
      <c r="E311" s="2">
        <v>0</v>
      </c>
      <c r="F311" s="2">
        <v>1</v>
      </c>
      <c r="G311" s="2">
        <v>0</v>
      </c>
      <c r="H311" s="2">
        <v>0</v>
      </c>
      <c r="I311" s="2">
        <v>0</v>
      </c>
      <c r="J311" s="2">
        <v>0</v>
      </c>
      <c r="K311" s="2"/>
      <c r="L311" s="2">
        <v>536524.84</v>
      </c>
    </row>
    <row r="312" spans="1:12">
      <c r="A312" s="2">
        <v>54322.94</v>
      </c>
      <c r="B312" s="2">
        <v>5434</v>
      </c>
      <c r="C312" s="2">
        <v>0.2</v>
      </c>
      <c r="D312" s="2">
        <v>13</v>
      </c>
      <c r="E312" s="2">
        <v>0</v>
      </c>
      <c r="F312" s="2">
        <v>1</v>
      </c>
      <c r="G312" s="2">
        <v>0</v>
      </c>
      <c r="H312" s="2">
        <v>0</v>
      </c>
      <c r="I312" s="2">
        <v>0</v>
      </c>
      <c r="J312" s="2">
        <v>0</v>
      </c>
      <c r="K312" s="2"/>
      <c r="L312" s="2">
        <v>621677.30000000005</v>
      </c>
    </row>
    <row r="313" spans="1:12">
      <c r="A313" s="2">
        <v>86026.58</v>
      </c>
      <c r="B313" s="2">
        <v>7479</v>
      </c>
      <c r="C313" s="2">
        <v>0.14199999999999999</v>
      </c>
      <c r="D313" s="2">
        <v>20</v>
      </c>
      <c r="E313" s="2">
        <v>0</v>
      </c>
      <c r="F313" s="2">
        <v>1</v>
      </c>
      <c r="G313" s="2">
        <v>0</v>
      </c>
      <c r="H313" s="2">
        <v>0</v>
      </c>
      <c r="I313" s="2">
        <v>0</v>
      </c>
      <c r="J313" s="2">
        <v>0</v>
      </c>
      <c r="K313" s="2"/>
      <c r="L313" s="2">
        <v>771129.07</v>
      </c>
    </row>
    <row r="314" spans="1:12">
      <c r="A314" s="2">
        <v>78967.520000000004</v>
      </c>
      <c r="B314" s="2">
        <v>6164</v>
      </c>
      <c r="C314" s="2">
        <v>2.1000000000000001E-2</v>
      </c>
      <c r="D314" s="2">
        <v>16</v>
      </c>
      <c r="E314" s="2">
        <v>1</v>
      </c>
      <c r="F314" s="2">
        <v>0</v>
      </c>
      <c r="G314" s="2">
        <v>0</v>
      </c>
      <c r="H314" s="2">
        <v>0</v>
      </c>
      <c r="I314" s="2">
        <v>0</v>
      </c>
      <c r="J314" s="2">
        <v>1</v>
      </c>
      <c r="K314" s="2"/>
      <c r="L314" s="2">
        <v>702052.47</v>
      </c>
    </row>
    <row r="315" spans="1:12">
      <c r="A315" s="2">
        <v>46767.99</v>
      </c>
      <c r="B315" s="2">
        <v>7973</v>
      </c>
      <c r="C315" s="2">
        <v>0.183</v>
      </c>
      <c r="D315" s="2">
        <v>18</v>
      </c>
      <c r="E315" s="2">
        <v>1</v>
      </c>
      <c r="F315" s="2">
        <v>0</v>
      </c>
      <c r="G315" s="2">
        <v>0</v>
      </c>
      <c r="H315" s="2">
        <v>0</v>
      </c>
      <c r="I315" s="2">
        <v>0</v>
      </c>
      <c r="J315" s="2">
        <v>1</v>
      </c>
      <c r="K315" s="2"/>
      <c r="L315" s="2">
        <v>688368.46</v>
      </c>
    </row>
    <row r="316" spans="1:12">
      <c r="A316" s="2">
        <v>62507.16</v>
      </c>
      <c r="B316" s="2">
        <v>6000</v>
      </c>
      <c r="C316" s="2">
        <v>9.0999999999999998E-2</v>
      </c>
      <c r="D316" s="2">
        <v>14</v>
      </c>
      <c r="E316" s="2">
        <v>1</v>
      </c>
      <c r="F316" s="2">
        <v>0</v>
      </c>
      <c r="G316" s="2">
        <v>0</v>
      </c>
      <c r="H316" s="2">
        <v>0</v>
      </c>
      <c r="I316" s="2">
        <v>0</v>
      </c>
      <c r="J316" s="2">
        <v>1</v>
      </c>
      <c r="K316" s="2"/>
      <c r="L316" s="2">
        <v>712375.77</v>
      </c>
    </row>
    <row r="317" spans="1:12">
      <c r="A317" s="2">
        <v>66456.28</v>
      </c>
      <c r="B317" s="2">
        <v>9967</v>
      </c>
      <c r="C317" s="2">
        <v>0.108</v>
      </c>
      <c r="D317" s="2">
        <v>20</v>
      </c>
      <c r="E317" s="2">
        <v>1</v>
      </c>
      <c r="F317" s="2">
        <v>0</v>
      </c>
      <c r="G317" s="2">
        <v>0</v>
      </c>
      <c r="H317" s="2">
        <v>0</v>
      </c>
      <c r="I317" s="2">
        <v>0</v>
      </c>
      <c r="J317" s="2">
        <v>1</v>
      </c>
      <c r="K317" s="2"/>
      <c r="L317" s="2">
        <v>844710.67</v>
      </c>
    </row>
    <row r="318" spans="1:12">
      <c r="A318" s="2">
        <v>76614.320000000007</v>
      </c>
      <c r="B318" s="2">
        <v>5639</v>
      </c>
      <c r="C318" s="2">
        <v>0.17399999999999999</v>
      </c>
      <c r="D318" s="2">
        <v>15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1</v>
      </c>
      <c r="K318" s="2"/>
      <c r="L318" s="2">
        <v>620264.19999999995</v>
      </c>
    </row>
    <row r="319" spans="1:12">
      <c r="A319" s="2">
        <v>24088.06</v>
      </c>
      <c r="B319" s="2">
        <v>3466</v>
      </c>
      <c r="C319" s="2">
        <v>0</v>
      </c>
      <c r="D319" s="2">
        <v>11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1</v>
      </c>
      <c r="K319" s="2"/>
      <c r="L319" s="2">
        <v>536845.42000000004</v>
      </c>
    </row>
    <row r="320" spans="1:12">
      <c r="A320" s="2">
        <v>81902.58</v>
      </c>
      <c r="B320" s="2">
        <v>7775</v>
      </c>
      <c r="C320" s="2">
        <v>0.215</v>
      </c>
      <c r="D320" s="2">
        <v>20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1</v>
      </c>
      <c r="K320" s="2"/>
      <c r="L320" s="2">
        <v>726776.22</v>
      </c>
    </row>
    <row r="321" spans="1:12">
      <c r="A321" s="2">
        <v>40553.11</v>
      </c>
      <c r="B321" s="2">
        <v>5317</v>
      </c>
      <c r="C321" s="2">
        <v>0.16500000000000001</v>
      </c>
      <c r="D321" s="2">
        <v>17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1</v>
      </c>
      <c r="K321" s="2"/>
      <c r="L321" s="2">
        <v>559660.84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1"/>
  <sheetViews>
    <sheetView workbookViewId="0">
      <selection activeCell="E14" sqref="E14"/>
    </sheetView>
  </sheetViews>
  <sheetFormatPr defaultRowHeight="14"/>
  <cols>
    <col min="1" max="1" width="16" customWidth="1"/>
    <col min="2" max="2" width="21.5" bestFit="1" customWidth="1"/>
    <col min="3" max="3" width="12.33203125" bestFit="1" customWidth="1"/>
    <col min="5" max="5" width="21.75" bestFit="1" customWidth="1"/>
    <col min="6" max="6" width="21.08203125" bestFit="1" customWidth="1"/>
  </cols>
  <sheetData>
    <row r="1" spans="1:6" ht="28">
      <c r="A1" s="1" t="s">
        <v>12</v>
      </c>
      <c r="B1" s="5" t="s">
        <v>151</v>
      </c>
      <c r="C1" s="5" t="s">
        <v>150</v>
      </c>
    </row>
    <row r="2" spans="1:6">
      <c r="A2" s="2">
        <v>595467.6</v>
      </c>
      <c r="B2">
        <v>734402.6425727146</v>
      </c>
      <c r="C2">
        <v>-138935.04257271462</v>
      </c>
    </row>
    <row r="3" spans="1:6" ht="14.5" thickBot="1">
      <c r="A3" s="2">
        <v>641865.03</v>
      </c>
      <c r="B3">
        <v>768485.65859010257</v>
      </c>
      <c r="C3">
        <v>-126620.62859010254</v>
      </c>
    </row>
    <row r="4" spans="1:6">
      <c r="A4" s="2">
        <v>633638.03</v>
      </c>
      <c r="B4">
        <v>759825.85424575862</v>
      </c>
      <c r="C4">
        <v>-126187.82424575859</v>
      </c>
      <c r="E4" s="15" t="s">
        <v>172</v>
      </c>
      <c r="F4" s="16" t="s">
        <v>173</v>
      </c>
    </row>
    <row r="5" spans="1:6" ht="14.5" thickBot="1">
      <c r="A5" s="2">
        <v>538376</v>
      </c>
      <c r="B5">
        <v>661425.3765216294</v>
      </c>
      <c r="C5">
        <v>-123049.3765216294</v>
      </c>
      <c r="E5" s="21" t="s">
        <v>150</v>
      </c>
      <c r="F5" s="22" t="s">
        <v>150</v>
      </c>
    </row>
    <row r="6" spans="1:6">
      <c r="A6" s="2">
        <v>627171.9</v>
      </c>
      <c r="B6">
        <v>749388.0135773283</v>
      </c>
      <c r="C6">
        <v>-122216.11357732827</v>
      </c>
      <c r="E6" s="17">
        <v>-138935.04257271462</v>
      </c>
      <c r="F6" s="18">
        <v>118256.04564330238</v>
      </c>
    </row>
    <row r="7" spans="1:6">
      <c r="A7" s="2">
        <v>685379.08</v>
      </c>
      <c r="B7">
        <v>803171.74429398717</v>
      </c>
      <c r="C7">
        <v>-117792.66429398721</v>
      </c>
      <c r="E7" s="17">
        <v>-126620.62859010254</v>
      </c>
      <c r="F7" s="18">
        <v>114844.50566736527</v>
      </c>
    </row>
    <row r="8" spans="1:6">
      <c r="A8" s="2">
        <v>658920.30000000005</v>
      </c>
      <c r="B8">
        <v>776019.04615870037</v>
      </c>
      <c r="C8">
        <v>-117098.74615870032</v>
      </c>
      <c r="E8" s="17">
        <v>-126187.82424575859</v>
      </c>
      <c r="F8" s="18">
        <v>109808.37551552826</v>
      </c>
    </row>
    <row r="9" spans="1:6">
      <c r="A9" s="2">
        <v>415721.82</v>
      </c>
      <c r="B9">
        <v>516274.96460162784</v>
      </c>
      <c r="C9">
        <v>-100553.14460162784</v>
      </c>
      <c r="E9" s="17">
        <v>-123049.3765216294</v>
      </c>
      <c r="F9" s="18">
        <v>102538.47535061883</v>
      </c>
    </row>
    <row r="10" spans="1:6" ht="14.5" thickBot="1">
      <c r="A10" s="2">
        <v>463534.25</v>
      </c>
      <c r="B10">
        <v>563242.36515541642</v>
      </c>
      <c r="C10">
        <v>-99708.115155416424</v>
      </c>
      <c r="E10" s="19">
        <v>-122216.11357732827</v>
      </c>
      <c r="F10" s="20">
        <v>101096.83100531728</v>
      </c>
    </row>
    <row r="11" spans="1:6">
      <c r="A11" s="2">
        <v>634436</v>
      </c>
      <c r="B11">
        <v>731678.4291133855</v>
      </c>
      <c r="C11">
        <v>-97242.4291133855</v>
      </c>
    </row>
    <row r="12" spans="1:6">
      <c r="A12" s="2">
        <v>658832.62</v>
      </c>
      <c r="B12">
        <v>752210.10231672798</v>
      </c>
      <c r="C12">
        <v>-93377.482316727983</v>
      </c>
    </row>
    <row r="13" spans="1:6">
      <c r="A13" s="2">
        <v>511844.41</v>
      </c>
      <c r="B13">
        <v>603039.95362255606</v>
      </c>
      <c r="C13">
        <v>-91195.543622556084</v>
      </c>
    </row>
    <row r="14" spans="1:6">
      <c r="A14" s="2">
        <v>800451.94</v>
      </c>
      <c r="B14">
        <v>887865.24103784747</v>
      </c>
      <c r="C14">
        <v>-87413.30103784753</v>
      </c>
    </row>
    <row r="15" spans="1:6">
      <c r="A15" s="2">
        <v>593637.14</v>
      </c>
      <c r="B15">
        <v>679776.30982909363</v>
      </c>
      <c r="C15">
        <v>-86139.169829093618</v>
      </c>
    </row>
    <row r="16" spans="1:6">
      <c r="A16" s="2">
        <v>678722.06</v>
      </c>
      <c r="B16">
        <v>763885.98159759736</v>
      </c>
      <c r="C16">
        <v>-85163.921597597306</v>
      </c>
    </row>
    <row r="17" spans="1:3">
      <c r="A17" s="2">
        <v>673076.34</v>
      </c>
      <c r="B17">
        <v>755410.95234437019</v>
      </c>
      <c r="C17">
        <v>-82334.612344370224</v>
      </c>
    </row>
    <row r="18" spans="1:3">
      <c r="A18" s="2">
        <v>449465.06</v>
      </c>
      <c r="B18">
        <v>530165.2766575698</v>
      </c>
      <c r="C18">
        <v>-80700.216657569807</v>
      </c>
    </row>
    <row r="19" spans="1:3">
      <c r="A19" s="2">
        <v>691288.19</v>
      </c>
      <c r="B19">
        <v>771975.34580831695</v>
      </c>
      <c r="C19">
        <v>-80687.155808317009</v>
      </c>
    </row>
    <row r="20" spans="1:3">
      <c r="A20" s="2">
        <v>593343</v>
      </c>
      <c r="B20">
        <v>671095.21522436349</v>
      </c>
      <c r="C20">
        <v>-77752.215224363492</v>
      </c>
    </row>
    <row r="21" spans="1:3">
      <c r="A21" s="2">
        <v>400831.65</v>
      </c>
      <c r="B21">
        <v>477992.79328732379</v>
      </c>
      <c r="C21">
        <v>-77161.143287323765</v>
      </c>
    </row>
    <row r="22" spans="1:3">
      <c r="A22" s="2">
        <v>799477.76000000001</v>
      </c>
      <c r="B22">
        <v>875227.32185209193</v>
      </c>
      <c r="C22">
        <v>-75749.561852091923</v>
      </c>
    </row>
    <row r="23" spans="1:3">
      <c r="A23" s="2">
        <v>509484.81</v>
      </c>
      <c r="B23">
        <v>582529.03184583969</v>
      </c>
      <c r="C23">
        <v>-73044.221845839696</v>
      </c>
    </row>
    <row r="24" spans="1:3">
      <c r="A24" s="2">
        <v>427917.38</v>
      </c>
      <c r="B24">
        <v>498374.4032311567</v>
      </c>
      <c r="C24">
        <v>-70457.023231156694</v>
      </c>
    </row>
    <row r="25" spans="1:3">
      <c r="A25" s="2">
        <v>536524.84</v>
      </c>
      <c r="B25">
        <v>606778.7378192218</v>
      </c>
      <c r="C25">
        <v>-70253.897819221835</v>
      </c>
    </row>
    <row r="26" spans="1:3">
      <c r="A26" s="2">
        <v>671868.59</v>
      </c>
      <c r="B26">
        <v>740805.52826685074</v>
      </c>
      <c r="C26">
        <v>-68936.938266850775</v>
      </c>
    </row>
    <row r="27" spans="1:3">
      <c r="A27" s="2">
        <v>726606.28</v>
      </c>
      <c r="B27">
        <v>795022.70930270548</v>
      </c>
      <c r="C27">
        <v>-68416.429302705452</v>
      </c>
    </row>
    <row r="28" spans="1:3">
      <c r="A28" s="2">
        <v>524899.56999999995</v>
      </c>
      <c r="B28">
        <v>593209.83651765774</v>
      </c>
      <c r="C28">
        <v>-68310.266517657787</v>
      </c>
    </row>
    <row r="29" spans="1:3">
      <c r="A29" s="2">
        <v>401582.58</v>
      </c>
      <c r="B29">
        <v>468594.07921199204</v>
      </c>
      <c r="C29">
        <v>-67011.499211992021</v>
      </c>
    </row>
    <row r="30" spans="1:3">
      <c r="A30" s="2">
        <v>630829.93999999994</v>
      </c>
      <c r="B30">
        <v>692896.65335172031</v>
      </c>
      <c r="C30">
        <v>-62066.713351720362</v>
      </c>
    </row>
    <row r="31" spans="1:3">
      <c r="A31" s="2">
        <v>559660.84</v>
      </c>
      <c r="B31">
        <v>621344.25318272877</v>
      </c>
      <c r="C31">
        <v>-61683.413182728807</v>
      </c>
    </row>
    <row r="32" spans="1:3">
      <c r="A32" s="2">
        <v>570963.31000000006</v>
      </c>
      <c r="B32">
        <v>632597.43148350215</v>
      </c>
      <c r="C32">
        <v>-61634.121483502095</v>
      </c>
    </row>
    <row r="33" spans="1:3">
      <c r="A33" s="2">
        <v>607084.92000000004</v>
      </c>
      <c r="B33">
        <v>665598.17993782554</v>
      </c>
      <c r="C33">
        <v>-58513.259937825496</v>
      </c>
    </row>
    <row r="34" spans="1:3">
      <c r="A34" s="2">
        <v>500298.48</v>
      </c>
      <c r="B34">
        <v>558800.30476098857</v>
      </c>
      <c r="C34">
        <v>-58501.824760988588</v>
      </c>
    </row>
    <row r="35" spans="1:3">
      <c r="A35" s="2">
        <v>675917.63</v>
      </c>
      <c r="B35">
        <v>732956.33337777923</v>
      </c>
      <c r="C35">
        <v>-57038.703377779224</v>
      </c>
    </row>
    <row r="36" spans="1:3">
      <c r="A36" s="2">
        <v>721079.35</v>
      </c>
      <c r="B36">
        <v>777862.94064552453</v>
      </c>
      <c r="C36">
        <v>-56783.590645524557</v>
      </c>
    </row>
    <row r="37" spans="1:3">
      <c r="A37" s="2">
        <v>723531.4</v>
      </c>
      <c r="B37">
        <v>779381.12021238473</v>
      </c>
      <c r="C37">
        <v>-55849.720212384709</v>
      </c>
    </row>
    <row r="38" spans="1:3">
      <c r="A38" s="2">
        <v>557487.26</v>
      </c>
      <c r="B38">
        <v>610451.75902837527</v>
      </c>
      <c r="C38">
        <v>-52964.499028375256</v>
      </c>
    </row>
    <row r="39" spans="1:3">
      <c r="A39" s="2">
        <v>553756.43000000005</v>
      </c>
      <c r="B39">
        <v>606570.12637186039</v>
      </c>
      <c r="C39">
        <v>-52813.696371860337</v>
      </c>
    </row>
    <row r="40" spans="1:3">
      <c r="A40" s="2">
        <v>660633.99</v>
      </c>
      <c r="B40">
        <v>713233.22731947806</v>
      </c>
      <c r="C40">
        <v>-52599.237319478067</v>
      </c>
    </row>
    <row r="41" spans="1:3">
      <c r="A41" s="2">
        <v>677096.71</v>
      </c>
      <c r="B41">
        <v>729673.64357299497</v>
      </c>
      <c r="C41">
        <v>-52576.933572995011</v>
      </c>
    </row>
    <row r="42" spans="1:3">
      <c r="A42" s="2">
        <v>527300.13</v>
      </c>
      <c r="B42">
        <v>579625.46439132956</v>
      </c>
      <c r="C42">
        <v>-52325.334391329554</v>
      </c>
    </row>
    <row r="43" spans="1:3">
      <c r="A43" s="2">
        <v>680840.36</v>
      </c>
      <c r="B43">
        <v>731613.47988716012</v>
      </c>
      <c r="C43">
        <v>-50773.119887160137</v>
      </c>
    </row>
    <row r="44" spans="1:3">
      <c r="A44" s="2">
        <v>479050.5</v>
      </c>
      <c r="B44">
        <v>528292.47371349973</v>
      </c>
      <c r="C44">
        <v>-49241.973713499727</v>
      </c>
    </row>
    <row r="45" spans="1:3">
      <c r="A45" s="2">
        <v>643657.47</v>
      </c>
      <c r="B45">
        <v>692040.58492722292</v>
      </c>
      <c r="C45">
        <v>-48383.114927222952</v>
      </c>
    </row>
    <row r="46" spans="1:3">
      <c r="A46" s="2">
        <v>555557.77</v>
      </c>
      <c r="B46">
        <v>603582.15628217463</v>
      </c>
      <c r="C46">
        <v>-48024.386282174615</v>
      </c>
    </row>
    <row r="47" spans="1:3">
      <c r="A47" s="2">
        <v>596969.27</v>
      </c>
      <c r="B47">
        <v>644199.5082734141</v>
      </c>
      <c r="C47">
        <v>-47230.238273414085</v>
      </c>
    </row>
    <row r="48" spans="1:3">
      <c r="A48" s="2">
        <v>554012.06999999995</v>
      </c>
      <c r="B48">
        <v>600195.98834480264</v>
      </c>
      <c r="C48">
        <v>-46183.918344802689</v>
      </c>
    </row>
    <row r="49" spans="1:3">
      <c r="A49" s="2">
        <v>739831.73</v>
      </c>
      <c r="B49">
        <v>785265.97494491597</v>
      </c>
      <c r="C49">
        <v>-45434.24494491599</v>
      </c>
    </row>
    <row r="50" spans="1:3">
      <c r="A50" s="2">
        <v>697287.9</v>
      </c>
      <c r="B50">
        <v>742675.85816807463</v>
      </c>
      <c r="C50">
        <v>-45387.958168074605</v>
      </c>
    </row>
    <row r="51" spans="1:3">
      <c r="A51" s="2">
        <v>620264.19999999995</v>
      </c>
      <c r="B51">
        <v>665618.60748454195</v>
      </c>
      <c r="C51">
        <v>-45354.407484541996</v>
      </c>
    </row>
    <row r="52" spans="1:3">
      <c r="A52" s="2">
        <v>487464.91</v>
      </c>
      <c r="B52">
        <v>532776.79502280464</v>
      </c>
      <c r="C52">
        <v>-45311.885022804665</v>
      </c>
    </row>
    <row r="53" spans="1:3">
      <c r="A53" s="2">
        <v>574066.61</v>
      </c>
      <c r="B53">
        <v>618446.76873805386</v>
      </c>
      <c r="C53">
        <v>-44380.158738053869</v>
      </c>
    </row>
    <row r="54" spans="1:3">
      <c r="A54" s="2">
        <v>636561.34</v>
      </c>
      <c r="B54">
        <v>680593.88078366697</v>
      </c>
      <c r="C54">
        <v>-44032.540783667006</v>
      </c>
    </row>
    <row r="55" spans="1:3">
      <c r="A55" s="2">
        <v>761122.42</v>
      </c>
      <c r="B55">
        <v>805034.52902596735</v>
      </c>
      <c r="C55">
        <v>-43912.109025967307</v>
      </c>
    </row>
    <row r="56" spans="1:3">
      <c r="A56" s="2">
        <v>650480.06000000006</v>
      </c>
      <c r="B56">
        <v>694215.66186109313</v>
      </c>
      <c r="C56">
        <v>-43735.601861093077</v>
      </c>
    </row>
    <row r="57" spans="1:3">
      <c r="A57" s="2">
        <v>612390.14</v>
      </c>
      <c r="B57">
        <v>656084.39660751261</v>
      </c>
      <c r="C57">
        <v>-43694.256607512594</v>
      </c>
    </row>
    <row r="58" spans="1:3">
      <c r="A58" s="2">
        <v>642751.42000000004</v>
      </c>
      <c r="B58">
        <v>685314.70343228034</v>
      </c>
      <c r="C58">
        <v>-42563.283432280296</v>
      </c>
    </row>
    <row r="59" spans="1:3">
      <c r="A59" s="2">
        <v>643428.85</v>
      </c>
      <c r="B59">
        <v>685680.62632212532</v>
      </c>
      <c r="C59">
        <v>-42251.776322125341</v>
      </c>
    </row>
    <row r="60" spans="1:3">
      <c r="A60" s="2">
        <v>527681.56000000006</v>
      </c>
      <c r="B60">
        <v>569518.35231326369</v>
      </c>
      <c r="C60">
        <v>-41836.792313263635</v>
      </c>
    </row>
    <row r="61" spans="1:3">
      <c r="A61" s="2">
        <v>614024.91</v>
      </c>
      <c r="B61">
        <v>655853.23133503983</v>
      </c>
      <c r="C61">
        <v>-41828.3213350398</v>
      </c>
    </row>
    <row r="62" spans="1:3">
      <c r="A62" s="2">
        <v>617291.15</v>
      </c>
      <c r="B62">
        <v>659049.93833824899</v>
      </c>
      <c r="C62">
        <v>-41758.788338248967</v>
      </c>
    </row>
    <row r="63" spans="1:3">
      <c r="A63" s="2">
        <v>721364.11</v>
      </c>
      <c r="B63">
        <v>763103.67063675553</v>
      </c>
      <c r="C63">
        <v>-41739.560636755545</v>
      </c>
    </row>
    <row r="64" spans="1:3">
      <c r="A64" s="2">
        <v>651164.18000000005</v>
      </c>
      <c r="B64">
        <v>692809.8072445608</v>
      </c>
      <c r="C64">
        <v>-41645.627244560746</v>
      </c>
    </row>
    <row r="65" spans="1:3">
      <c r="A65" s="2">
        <v>725235.28</v>
      </c>
      <c r="B65">
        <v>765285.57137706818</v>
      </c>
      <c r="C65">
        <v>-40050.291377068148</v>
      </c>
    </row>
    <row r="66" spans="1:3">
      <c r="A66" s="2">
        <v>441275.42</v>
      </c>
      <c r="B66">
        <v>480344.963585202</v>
      </c>
      <c r="C66">
        <v>-39069.543585202016</v>
      </c>
    </row>
    <row r="67" spans="1:3">
      <c r="A67" s="2">
        <v>577732.56999999995</v>
      </c>
      <c r="B67">
        <v>616725.71437842771</v>
      </c>
      <c r="C67">
        <v>-38993.144378427765</v>
      </c>
    </row>
    <row r="68" spans="1:3">
      <c r="A68" s="2">
        <v>684217.32</v>
      </c>
      <c r="B68">
        <v>722104.6998768202</v>
      </c>
      <c r="C68">
        <v>-37887.379876820254</v>
      </c>
    </row>
    <row r="69" spans="1:3">
      <c r="A69" s="2">
        <v>761077.08</v>
      </c>
      <c r="B69">
        <v>798735.72344935208</v>
      </c>
      <c r="C69">
        <v>-37658.643449352123</v>
      </c>
    </row>
    <row r="70" spans="1:3">
      <c r="A70" s="2">
        <v>712546.38</v>
      </c>
      <c r="B70">
        <v>750158.56375209102</v>
      </c>
      <c r="C70">
        <v>-37612.183752091019</v>
      </c>
    </row>
    <row r="71" spans="1:3">
      <c r="A71" s="2">
        <v>758138.29</v>
      </c>
      <c r="B71">
        <v>794509.55092115479</v>
      </c>
      <c r="C71">
        <v>-36371.260921154753</v>
      </c>
    </row>
    <row r="72" spans="1:3">
      <c r="A72" s="2">
        <v>666152.52</v>
      </c>
      <c r="B72">
        <v>702261.95377073612</v>
      </c>
      <c r="C72">
        <v>-36109.433770736097</v>
      </c>
    </row>
    <row r="73" spans="1:3">
      <c r="A73" s="2">
        <v>573155.18999999994</v>
      </c>
      <c r="B73">
        <v>608581.95241677715</v>
      </c>
      <c r="C73">
        <v>-35426.762416777201</v>
      </c>
    </row>
    <row r="74" spans="1:3">
      <c r="A74" s="2">
        <v>537058.32999999996</v>
      </c>
      <c r="B74">
        <v>572052.42633350182</v>
      </c>
      <c r="C74">
        <v>-34994.09633350186</v>
      </c>
    </row>
    <row r="75" spans="1:3">
      <c r="A75" s="2">
        <v>497439.82</v>
      </c>
      <c r="B75">
        <v>531539.78131477931</v>
      </c>
      <c r="C75">
        <v>-34099.961314779299</v>
      </c>
    </row>
    <row r="76" spans="1:3">
      <c r="A76" s="2">
        <v>578949.84</v>
      </c>
      <c r="B76">
        <v>612381.28730001522</v>
      </c>
      <c r="C76">
        <v>-33431.44730001525</v>
      </c>
    </row>
    <row r="77" spans="1:3">
      <c r="A77" s="2">
        <v>696261.49</v>
      </c>
      <c r="B77">
        <v>727534.56602362171</v>
      </c>
      <c r="C77">
        <v>-31273.076023621717</v>
      </c>
    </row>
    <row r="78" spans="1:3">
      <c r="A78" s="2">
        <v>500173.02</v>
      </c>
      <c r="B78">
        <v>531207.5321095048</v>
      </c>
      <c r="C78">
        <v>-31034.51210950478</v>
      </c>
    </row>
    <row r="79" spans="1:3">
      <c r="A79" s="2">
        <v>443275.59</v>
      </c>
      <c r="B79">
        <v>473161.17410797032</v>
      </c>
      <c r="C79">
        <v>-29885.584107970295</v>
      </c>
    </row>
    <row r="80" spans="1:3">
      <c r="A80" s="2">
        <v>706285.52</v>
      </c>
      <c r="B80">
        <v>735807.80429221725</v>
      </c>
      <c r="C80">
        <v>-29522.284292217228</v>
      </c>
    </row>
    <row r="81" spans="1:3">
      <c r="A81" s="2">
        <v>761835.34</v>
      </c>
      <c r="B81">
        <v>790971.38640731783</v>
      </c>
      <c r="C81">
        <v>-29136.046407317859</v>
      </c>
    </row>
    <row r="82" spans="1:3">
      <c r="A82" s="2">
        <v>546223.69999999995</v>
      </c>
      <c r="B82">
        <v>575344.88937672367</v>
      </c>
      <c r="C82">
        <v>-29121.18937672372</v>
      </c>
    </row>
    <row r="83" spans="1:3">
      <c r="A83" s="2">
        <v>697155.3</v>
      </c>
      <c r="B83">
        <v>726047.21733613813</v>
      </c>
      <c r="C83">
        <v>-28891.917336138082</v>
      </c>
    </row>
    <row r="84" spans="1:3">
      <c r="A84" s="2">
        <v>591619.94999999995</v>
      </c>
      <c r="B84">
        <v>619589.48946830968</v>
      </c>
      <c r="C84">
        <v>-27969.539468309726</v>
      </c>
    </row>
    <row r="85" spans="1:3">
      <c r="A85" s="2">
        <v>548103.69999999995</v>
      </c>
      <c r="B85">
        <v>575872.92434246931</v>
      </c>
      <c r="C85">
        <v>-27769.224342469359</v>
      </c>
    </row>
    <row r="86" spans="1:3">
      <c r="A86" s="2">
        <v>603297.56999999995</v>
      </c>
      <c r="B86">
        <v>630808.29828115797</v>
      </c>
      <c r="C86">
        <v>-27510.728281158023</v>
      </c>
    </row>
    <row r="87" spans="1:3">
      <c r="A87" s="2">
        <v>679230.86</v>
      </c>
      <c r="B87">
        <v>706078.29494652478</v>
      </c>
      <c r="C87">
        <v>-26847.434946524794</v>
      </c>
    </row>
    <row r="88" spans="1:3">
      <c r="A88" s="2">
        <v>685830.24</v>
      </c>
      <c r="B88">
        <v>712332.52670719451</v>
      </c>
      <c r="C88">
        <v>-26502.286707194522</v>
      </c>
    </row>
    <row r="89" spans="1:3">
      <c r="A89" s="2">
        <v>811452.72</v>
      </c>
      <c r="B89">
        <v>836897.30793395475</v>
      </c>
      <c r="C89">
        <v>-25444.587933954783</v>
      </c>
    </row>
    <row r="90" spans="1:3">
      <c r="A90" s="2">
        <v>666573.19999999995</v>
      </c>
      <c r="B90">
        <v>691556.13016580814</v>
      </c>
      <c r="C90">
        <v>-24982.930165808182</v>
      </c>
    </row>
    <row r="91" spans="1:3">
      <c r="A91" s="2">
        <v>834017.02</v>
      </c>
      <c r="B91">
        <v>858885.92672040057</v>
      </c>
      <c r="C91">
        <v>-24868.906720400555</v>
      </c>
    </row>
    <row r="92" spans="1:3">
      <c r="A92" s="2">
        <v>586626.93999999994</v>
      </c>
      <c r="B92">
        <v>611170.3751611379</v>
      </c>
      <c r="C92">
        <v>-24543.435161137953</v>
      </c>
    </row>
    <row r="93" spans="1:3">
      <c r="A93" s="2">
        <v>729424.42</v>
      </c>
      <c r="B93">
        <v>752225.36297428492</v>
      </c>
      <c r="C93">
        <v>-22800.942974284873</v>
      </c>
    </row>
    <row r="94" spans="1:3">
      <c r="A94" s="2">
        <v>700078.32</v>
      </c>
      <c r="B94">
        <v>722311.84668199625</v>
      </c>
      <c r="C94">
        <v>-22233.5266819963</v>
      </c>
    </row>
    <row r="95" spans="1:3">
      <c r="A95" s="2">
        <v>688368.46</v>
      </c>
      <c r="B95">
        <v>710487.74105251953</v>
      </c>
      <c r="C95">
        <v>-22119.281052519567</v>
      </c>
    </row>
    <row r="96" spans="1:3">
      <c r="A96" s="2">
        <v>703812.99</v>
      </c>
      <c r="B96">
        <v>724539.51202550076</v>
      </c>
      <c r="C96">
        <v>-20726.522025500773</v>
      </c>
    </row>
    <row r="97" spans="1:3">
      <c r="A97" s="2">
        <v>801830.35</v>
      </c>
      <c r="B97">
        <v>822427.01179150038</v>
      </c>
      <c r="C97">
        <v>-20596.661791500403</v>
      </c>
    </row>
    <row r="98" spans="1:3">
      <c r="A98" s="2">
        <v>761919.25</v>
      </c>
      <c r="B98">
        <v>781624.75082573236</v>
      </c>
      <c r="C98">
        <v>-19705.500825732364</v>
      </c>
    </row>
    <row r="99" spans="1:3">
      <c r="A99" s="2">
        <v>621369.57999999996</v>
      </c>
      <c r="B99">
        <v>640956.31508628814</v>
      </c>
      <c r="C99">
        <v>-19586.735086288187</v>
      </c>
    </row>
    <row r="100" spans="1:3">
      <c r="A100" s="2">
        <v>724346.73</v>
      </c>
      <c r="B100">
        <v>743654.28334664775</v>
      </c>
      <c r="C100">
        <v>-19307.553346647765</v>
      </c>
    </row>
    <row r="101" spans="1:3">
      <c r="A101" s="2">
        <v>532644.46</v>
      </c>
      <c r="B101">
        <v>551793.34324044629</v>
      </c>
      <c r="C101">
        <v>-19148.883240446332</v>
      </c>
    </row>
    <row r="102" spans="1:3">
      <c r="A102" s="2">
        <v>536545.49</v>
      </c>
      <c r="B102">
        <v>555391.73384282226</v>
      </c>
      <c r="C102">
        <v>-18846.243842822267</v>
      </c>
    </row>
    <row r="103" spans="1:3">
      <c r="A103" s="2">
        <v>621677.30000000005</v>
      </c>
      <c r="B103">
        <v>640275.19017343305</v>
      </c>
      <c r="C103">
        <v>-18597.890173432999</v>
      </c>
    </row>
    <row r="104" spans="1:3">
      <c r="A104" s="2">
        <v>628538.30000000005</v>
      </c>
      <c r="B104">
        <v>647029.63478356577</v>
      </c>
      <c r="C104">
        <v>-18491.334783565719</v>
      </c>
    </row>
    <row r="105" spans="1:3">
      <c r="A105" s="2">
        <v>718074.79</v>
      </c>
      <c r="B105">
        <v>736521.78790537408</v>
      </c>
      <c r="C105">
        <v>-18446.997905374039</v>
      </c>
    </row>
    <row r="106" spans="1:3">
      <c r="A106" s="2">
        <v>718330.53</v>
      </c>
      <c r="B106">
        <v>736507.84118995245</v>
      </c>
      <c r="C106">
        <v>-18177.311189952423</v>
      </c>
    </row>
    <row r="107" spans="1:3">
      <c r="A107" s="2">
        <v>640666.53</v>
      </c>
      <c r="B107">
        <v>657858.63416604209</v>
      </c>
      <c r="C107">
        <v>-17192.10416604206</v>
      </c>
    </row>
    <row r="108" spans="1:3">
      <c r="A108" s="2">
        <v>636775.66</v>
      </c>
      <c r="B108">
        <v>653845.38423009578</v>
      </c>
      <c r="C108">
        <v>-17069.724230095744</v>
      </c>
    </row>
    <row r="109" spans="1:3">
      <c r="A109" s="2">
        <v>602002.31999999995</v>
      </c>
      <c r="B109">
        <v>618913.24289724289</v>
      </c>
      <c r="C109">
        <v>-16910.922897242941</v>
      </c>
    </row>
    <row r="110" spans="1:3">
      <c r="A110" s="2">
        <v>741341.44</v>
      </c>
      <c r="B110">
        <v>758075.50462593837</v>
      </c>
      <c r="C110">
        <v>-16734.064625938423</v>
      </c>
    </row>
    <row r="111" spans="1:3">
      <c r="A111" s="2">
        <v>559422.02</v>
      </c>
      <c r="B111">
        <v>575192.51172754634</v>
      </c>
      <c r="C111">
        <v>-15770.491727546323</v>
      </c>
    </row>
    <row r="112" spans="1:3">
      <c r="A112" s="2">
        <v>650795.49</v>
      </c>
      <c r="B112">
        <v>666536.69738121575</v>
      </c>
      <c r="C112">
        <v>-15741.207381215761</v>
      </c>
    </row>
    <row r="113" spans="1:3">
      <c r="A113" s="2">
        <v>726776.22</v>
      </c>
      <c r="B113">
        <v>742442.15716164163</v>
      </c>
      <c r="C113">
        <v>-15665.937161641661</v>
      </c>
    </row>
    <row r="114" spans="1:3">
      <c r="A114" s="2">
        <v>723060.76</v>
      </c>
      <c r="B114">
        <v>738586.35762776015</v>
      </c>
      <c r="C114">
        <v>-15525.597627760144</v>
      </c>
    </row>
    <row r="115" spans="1:3">
      <c r="A115" s="2">
        <v>752321.72</v>
      </c>
      <c r="B115">
        <v>767484.4622435543</v>
      </c>
      <c r="C115">
        <v>-15162.742243554327</v>
      </c>
    </row>
    <row r="116" spans="1:3">
      <c r="A116" s="2">
        <v>572011.19999999995</v>
      </c>
      <c r="B116">
        <v>587023.95588236733</v>
      </c>
      <c r="C116">
        <v>-15012.755882367375</v>
      </c>
    </row>
    <row r="117" spans="1:3">
      <c r="A117" s="2">
        <v>598904.9</v>
      </c>
      <c r="B117">
        <v>613891.93134510994</v>
      </c>
      <c r="C117">
        <v>-14987.031345109921</v>
      </c>
    </row>
    <row r="118" spans="1:3">
      <c r="A118" s="2">
        <v>736633.4</v>
      </c>
      <c r="B118">
        <v>751472.18644515541</v>
      </c>
      <c r="C118">
        <v>-14838.786445155391</v>
      </c>
    </row>
    <row r="119" spans="1:3">
      <c r="A119" s="2">
        <v>946833.54</v>
      </c>
      <c r="B119">
        <v>961640.22098165075</v>
      </c>
      <c r="C119">
        <v>-14806.680981650716</v>
      </c>
    </row>
    <row r="120" spans="1:3">
      <c r="A120" s="2">
        <v>761963.23</v>
      </c>
      <c r="B120">
        <v>776491.31781616108</v>
      </c>
      <c r="C120">
        <v>-14528.087816161104</v>
      </c>
    </row>
    <row r="121" spans="1:3">
      <c r="A121" s="2">
        <v>679731.57</v>
      </c>
      <c r="B121">
        <v>692170.97003210383</v>
      </c>
      <c r="C121">
        <v>-12439.400032103877</v>
      </c>
    </row>
    <row r="122" spans="1:3">
      <c r="A122" s="2">
        <v>536845.42000000004</v>
      </c>
      <c r="B122">
        <v>548205.98500238464</v>
      </c>
      <c r="C122">
        <v>-11360.565002384596</v>
      </c>
    </row>
    <row r="123" spans="1:3">
      <c r="A123" s="2">
        <v>570964.84</v>
      </c>
      <c r="B123">
        <v>582130.02793524531</v>
      </c>
      <c r="C123">
        <v>-11165.18793524534</v>
      </c>
    </row>
    <row r="124" spans="1:3">
      <c r="A124" s="2">
        <v>616069.41</v>
      </c>
      <c r="B124">
        <v>626893.23445447837</v>
      </c>
      <c r="C124">
        <v>-10823.824454478337</v>
      </c>
    </row>
    <row r="125" spans="1:3">
      <c r="A125" s="2">
        <v>450711.92</v>
      </c>
      <c r="B125">
        <v>461354.95290896442</v>
      </c>
      <c r="C125">
        <v>-10643.032908964437</v>
      </c>
    </row>
    <row r="126" spans="1:3">
      <c r="A126" s="2">
        <v>746501.09</v>
      </c>
      <c r="B126">
        <v>756690.54418384947</v>
      </c>
      <c r="C126">
        <v>-10189.454183849506</v>
      </c>
    </row>
    <row r="127" spans="1:3">
      <c r="A127" s="2">
        <v>599603.4</v>
      </c>
      <c r="B127">
        <v>609265.46137450379</v>
      </c>
      <c r="C127">
        <v>-9662.0613745037699</v>
      </c>
    </row>
    <row r="128" spans="1:3">
      <c r="A128" s="2">
        <v>491905.13</v>
      </c>
      <c r="B128">
        <v>501388.41264050896</v>
      </c>
      <c r="C128">
        <v>-9483.2826405089581</v>
      </c>
    </row>
    <row r="129" spans="1:3">
      <c r="A129" s="2">
        <v>798952.17</v>
      </c>
      <c r="B129">
        <v>807920.30420991557</v>
      </c>
      <c r="C129">
        <v>-8968.1342099155299</v>
      </c>
    </row>
    <row r="130" spans="1:3">
      <c r="A130" s="2">
        <v>635837.74</v>
      </c>
      <c r="B130">
        <v>644412.19099782733</v>
      </c>
      <c r="C130">
        <v>-8574.4509978273418</v>
      </c>
    </row>
    <row r="131" spans="1:3">
      <c r="A131" s="2">
        <v>529075.94999999995</v>
      </c>
      <c r="B131">
        <v>537330.22915133869</v>
      </c>
      <c r="C131">
        <v>-8254.2791513387347</v>
      </c>
    </row>
    <row r="132" spans="1:3">
      <c r="A132" s="2">
        <v>645039.97</v>
      </c>
      <c r="B132">
        <v>652581.9920712997</v>
      </c>
      <c r="C132">
        <v>-7542.0220712997252</v>
      </c>
    </row>
    <row r="133" spans="1:3">
      <c r="A133" s="2">
        <v>633494.21</v>
      </c>
      <c r="B133">
        <v>640799.86128412921</v>
      </c>
      <c r="C133">
        <v>-7305.6512841292424</v>
      </c>
    </row>
    <row r="134" spans="1:3">
      <c r="A134" s="2">
        <v>611766.72</v>
      </c>
      <c r="B134">
        <v>618949.36720691225</v>
      </c>
      <c r="C134">
        <v>-7182.6472069122829</v>
      </c>
    </row>
    <row r="135" spans="1:3">
      <c r="A135" s="2">
        <v>785028.25</v>
      </c>
      <c r="B135">
        <v>791967.83157299296</v>
      </c>
      <c r="C135">
        <v>-6939.58157299296</v>
      </c>
    </row>
    <row r="136" spans="1:3">
      <c r="A136" s="2">
        <v>709478.39</v>
      </c>
      <c r="B136">
        <v>716288.67904656811</v>
      </c>
      <c r="C136">
        <v>-6810.2890465680975</v>
      </c>
    </row>
    <row r="137" spans="1:3">
      <c r="A137" s="2">
        <v>599017.32999999996</v>
      </c>
      <c r="B137">
        <v>605565.9423098003</v>
      </c>
      <c r="C137">
        <v>-6548.6123098003445</v>
      </c>
    </row>
    <row r="138" spans="1:3">
      <c r="A138" s="2">
        <v>819660.59</v>
      </c>
      <c r="B138">
        <v>826175.10207029048</v>
      </c>
      <c r="C138">
        <v>-6514.5120702905115</v>
      </c>
    </row>
    <row r="139" spans="1:3">
      <c r="A139" s="2">
        <v>611924.27</v>
      </c>
      <c r="B139">
        <v>617873.72174882982</v>
      </c>
      <c r="C139">
        <v>-5949.4517488298006</v>
      </c>
    </row>
    <row r="140" spans="1:3">
      <c r="A140" s="2">
        <v>804264</v>
      </c>
      <c r="B140">
        <v>810026.72956086427</v>
      </c>
      <c r="C140">
        <v>-5762.7295608642744</v>
      </c>
    </row>
    <row r="141" spans="1:3">
      <c r="A141" s="2">
        <v>751393.88</v>
      </c>
      <c r="B141">
        <v>756576.96187249606</v>
      </c>
      <c r="C141">
        <v>-5183.0818724960554</v>
      </c>
    </row>
    <row r="142" spans="1:3">
      <c r="A142" s="2">
        <v>555929.4</v>
      </c>
      <c r="B142">
        <v>560501.83222660702</v>
      </c>
      <c r="C142">
        <v>-4572.4322266069939</v>
      </c>
    </row>
    <row r="143" spans="1:3">
      <c r="A143" s="2">
        <v>692008.64</v>
      </c>
      <c r="B143">
        <v>696558.93001944711</v>
      </c>
      <c r="C143">
        <v>-4550.2900194471003</v>
      </c>
    </row>
    <row r="144" spans="1:3">
      <c r="A144" s="2">
        <v>679888.74</v>
      </c>
      <c r="B144">
        <v>684282.07597514323</v>
      </c>
      <c r="C144">
        <v>-4393.3359751432436</v>
      </c>
    </row>
    <row r="145" spans="1:3">
      <c r="A145" s="2">
        <v>625672.86</v>
      </c>
      <c r="B145">
        <v>629682.60114333511</v>
      </c>
      <c r="C145">
        <v>-4009.7411433351226</v>
      </c>
    </row>
    <row r="146" spans="1:3">
      <c r="A146" s="2">
        <v>498970.32</v>
      </c>
      <c r="B146">
        <v>502707.5517028381</v>
      </c>
      <c r="C146">
        <v>-3737.231702838093</v>
      </c>
    </row>
    <row r="147" spans="1:3">
      <c r="A147" s="2">
        <v>672670.54</v>
      </c>
      <c r="B147">
        <v>676288.00815539947</v>
      </c>
      <c r="C147">
        <v>-3617.4681553994305</v>
      </c>
    </row>
    <row r="148" spans="1:3">
      <c r="A148" s="2">
        <v>607898.12</v>
      </c>
      <c r="B148">
        <v>611265.83536544279</v>
      </c>
      <c r="C148">
        <v>-3367.7153654427966</v>
      </c>
    </row>
    <row r="149" spans="1:3">
      <c r="A149" s="2">
        <v>729440.45</v>
      </c>
      <c r="B149">
        <v>732306.52334522631</v>
      </c>
      <c r="C149">
        <v>-2866.0733452263521</v>
      </c>
    </row>
    <row r="150" spans="1:3">
      <c r="A150" s="2">
        <v>779010.94</v>
      </c>
      <c r="B150">
        <v>781846.51342861261</v>
      </c>
      <c r="C150">
        <v>-2835.5734286126681</v>
      </c>
    </row>
    <row r="151" spans="1:3">
      <c r="A151" s="2">
        <v>601568.87</v>
      </c>
      <c r="B151">
        <v>604079.44631191087</v>
      </c>
      <c r="C151">
        <v>-2510.5763119108742</v>
      </c>
    </row>
    <row r="152" spans="1:3">
      <c r="A152" s="2">
        <v>665594.93999999994</v>
      </c>
      <c r="B152">
        <v>667922.46990214672</v>
      </c>
      <c r="C152">
        <v>-2327.5299021467799</v>
      </c>
    </row>
    <row r="153" spans="1:3">
      <c r="A153" s="2">
        <v>756619.77</v>
      </c>
      <c r="B153">
        <v>758591.05719120032</v>
      </c>
      <c r="C153">
        <v>-1971.2871912003029</v>
      </c>
    </row>
    <row r="154" spans="1:3">
      <c r="A154" s="2">
        <v>732667.92</v>
      </c>
      <c r="B154">
        <v>734615.8904293878</v>
      </c>
      <c r="C154">
        <v>-1947.9704293877585</v>
      </c>
    </row>
    <row r="155" spans="1:3">
      <c r="A155" s="2">
        <v>784502.68</v>
      </c>
      <c r="B155">
        <v>786048.74088650453</v>
      </c>
      <c r="C155">
        <v>-1546.0608865044778</v>
      </c>
    </row>
    <row r="156" spans="1:3">
      <c r="A156" s="2">
        <v>730890.01</v>
      </c>
      <c r="B156">
        <v>731896.34691879095</v>
      </c>
      <c r="C156">
        <v>-1006.3369187909411</v>
      </c>
    </row>
    <row r="157" spans="1:3">
      <c r="A157" s="2">
        <v>810355.02</v>
      </c>
      <c r="B157">
        <v>811163.61957628652</v>
      </c>
      <c r="C157">
        <v>-808.59957628650591</v>
      </c>
    </row>
    <row r="158" spans="1:3">
      <c r="A158" s="2">
        <v>585937.48</v>
      </c>
      <c r="B158">
        <v>586553.47590826673</v>
      </c>
      <c r="C158">
        <v>-615.9959082667483</v>
      </c>
    </row>
    <row r="159" spans="1:3">
      <c r="A159" s="2">
        <v>537383.79</v>
      </c>
      <c r="B159">
        <v>537976.22584239242</v>
      </c>
      <c r="C159">
        <v>-592.43584239238407</v>
      </c>
    </row>
    <row r="160" spans="1:3">
      <c r="A160" s="2">
        <v>750471.34</v>
      </c>
      <c r="B160">
        <v>750342.22599913739</v>
      </c>
      <c r="C160">
        <v>129.11400086258072</v>
      </c>
    </row>
    <row r="161" spans="1:3">
      <c r="A161" s="2">
        <v>702052.47</v>
      </c>
      <c r="B161">
        <v>701840.63841431704</v>
      </c>
      <c r="C161">
        <v>211.83158568292856</v>
      </c>
    </row>
    <row r="162" spans="1:3">
      <c r="A162" s="2">
        <v>825060.52</v>
      </c>
      <c r="B162">
        <v>824785.31787091959</v>
      </c>
      <c r="C162">
        <v>275.20212908042595</v>
      </c>
    </row>
    <row r="163" spans="1:3">
      <c r="A163" s="2">
        <v>800979.78</v>
      </c>
      <c r="B163">
        <v>800643.73103348934</v>
      </c>
      <c r="C163">
        <v>336.04896651068702</v>
      </c>
    </row>
    <row r="164" spans="1:3">
      <c r="A164" s="2">
        <v>810446.53</v>
      </c>
      <c r="B164">
        <v>809721.95207429328</v>
      </c>
      <c r="C164">
        <v>724.57792570674792</v>
      </c>
    </row>
    <row r="165" spans="1:3">
      <c r="A165" s="2">
        <v>665534.69999999995</v>
      </c>
      <c r="B165">
        <v>664729.36882179463</v>
      </c>
      <c r="C165">
        <v>805.33117820532061</v>
      </c>
    </row>
    <row r="166" spans="1:3">
      <c r="A166" s="2">
        <v>681855.56</v>
      </c>
      <c r="B166">
        <v>680561.23544280522</v>
      </c>
      <c r="C166">
        <v>1294.3245571948355</v>
      </c>
    </row>
    <row r="167" spans="1:3">
      <c r="A167" s="2">
        <v>614596.31999999995</v>
      </c>
      <c r="B167">
        <v>613196.13905523403</v>
      </c>
      <c r="C167">
        <v>1400.180944765918</v>
      </c>
    </row>
    <row r="168" spans="1:3">
      <c r="A168" s="2">
        <v>605775.32999999996</v>
      </c>
      <c r="B168">
        <v>604276.57361365773</v>
      </c>
      <c r="C168">
        <v>1498.7563863422256</v>
      </c>
    </row>
    <row r="169" spans="1:3">
      <c r="A169" s="2">
        <v>855341.28</v>
      </c>
      <c r="B169">
        <v>853345.30362049036</v>
      </c>
      <c r="C169">
        <v>1995.976379509666</v>
      </c>
    </row>
    <row r="170" spans="1:3">
      <c r="A170" s="2">
        <v>697888.09</v>
      </c>
      <c r="B170">
        <v>695387.75629282556</v>
      </c>
      <c r="C170">
        <v>2500.3337071744027</v>
      </c>
    </row>
    <row r="171" spans="1:3">
      <c r="A171" s="2">
        <v>585365.73</v>
      </c>
      <c r="B171">
        <v>582764.28678986442</v>
      </c>
      <c r="C171">
        <v>2601.4432101355633</v>
      </c>
    </row>
    <row r="172" spans="1:3">
      <c r="A172" s="2">
        <v>711213.46</v>
      </c>
      <c r="B172">
        <v>708199.18409561017</v>
      </c>
      <c r="C172">
        <v>3014.2759043897968</v>
      </c>
    </row>
    <row r="173" spans="1:3">
      <c r="A173" s="2">
        <v>605178</v>
      </c>
      <c r="B173">
        <v>601922.4230998772</v>
      </c>
      <c r="C173">
        <v>3255.5769001228036</v>
      </c>
    </row>
    <row r="174" spans="1:3">
      <c r="A174" s="2">
        <v>887537.75</v>
      </c>
      <c r="B174">
        <v>883992.4971306955</v>
      </c>
      <c r="C174">
        <v>3545.2528693045024</v>
      </c>
    </row>
    <row r="175" spans="1:3">
      <c r="A175" s="2">
        <v>717141.55</v>
      </c>
      <c r="B175">
        <v>713179.1138869765</v>
      </c>
      <c r="C175">
        <v>3962.4361130235484</v>
      </c>
    </row>
    <row r="176" spans="1:3">
      <c r="A176" s="2">
        <v>828219.67</v>
      </c>
      <c r="B176">
        <v>824255.83323616767</v>
      </c>
      <c r="C176">
        <v>3963.8367638323689</v>
      </c>
    </row>
    <row r="177" spans="1:3">
      <c r="A177" s="2">
        <v>746115.59</v>
      </c>
      <c r="B177">
        <v>741430.52231106267</v>
      </c>
      <c r="C177">
        <v>4685.067688937299</v>
      </c>
    </row>
    <row r="178" spans="1:3">
      <c r="A178" s="2">
        <v>518049.26</v>
      </c>
      <c r="B178">
        <v>513329.2730363275</v>
      </c>
      <c r="C178">
        <v>4719.9869636725052</v>
      </c>
    </row>
    <row r="179" spans="1:3">
      <c r="A179" s="2">
        <v>799756.46</v>
      </c>
      <c r="B179">
        <v>794887.29075765237</v>
      </c>
      <c r="C179">
        <v>4869.1692423475906</v>
      </c>
    </row>
    <row r="180" spans="1:3">
      <c r="A180" s="2">
        <v>702068.92</v>
      </c>
      <c r="B180">
        <v>697046.80562779121</v>
      </c>
      <c r="C180">
        <v>5022.1143722088309</v>
      </c>
    </row>
    <row r="181" spans="1:3">
      <c r="A181" s="2">
        <v>811771.14</v>
      </c>
      <c r="B181">
        <v>806393.84901618911</v>
      </c>
      <c r="C181">
        <v>5377.2909838109044</v>
      </c>
    </row>
    <row r="182" spans="1:3">
      <c r="A182" s="2">
        <v>487738.26</v>
      </c>
      <c r="B182">
        <v>482189.98605308752</v>
      </c>
      <c r="C182">
        <v>5548.2739469124936</v>
      </c>
    </row>
    <row r="183" spans="1:3">
      <c r="A183" s="2">
        <v>783797.89</v>
      </c>
      <c r="B183">
        <v>777942.48184413486</v>
      </c>
      <c r="C183">
        <v>5855.4081558651524</v>
      </c>
    </row>
    <row r="184" spans="1:3">
      <c r="A184" s="2">
        <v>702318.94</v>
      </c>
      <c r="B184">
        <v>696305.15007034258</v>
      </c>
      <c r="C184">
        <v>6013.7899296573596</v>
      </c>
    </row>
    <row r="185" spans="1:3">
      <c r="A185" s="2">
        <v>605751.32999999996</v>
      </c>
      <c r="B185">
        <v>599129.64754286432</v>
      </c>
      <c r="C185">
        <v>6621.682457135641</v>
      </c>
    </row>
    <row r="186" spans="1:3">
      <c r="A186" s="2">
        <v>737070.18</v>
      </c>
      <c r="B186">
        <v>730257.2503891068</v>
      </c>
      <c r="C186">
        <v>6812.9296108932467</v>
      </c>
    </row>
    <row r="187" spans="1:3">
      <c r="A187" s="2">
        <v>698492.67</v>
      </c>
      <c r="B187">
        <v>691645.03552431799</v>
      </c>
      <c r="C187">
        <v>6847.6344756820472</v>
      </c>
    </row>
    <row r="188" spans="1:3">
      <c r="A188" s="2">
        <v>622811.74</v>
      </c>
      <c r="B188">
        <v>615939.71390129067</v>
      </c>
      <c r="C188">
        <v>6872.0260987093206</v>
      </c>
    </row>
    <row r="189" spans="1:3">
      <c r="A189" s="2">
        <v>708985.19</v>
      </c>
      <c r="B189">
        <v>701929.31490592239</v>
      </c>
      <c r="C189">
        <v>7055.8750940775499</v>
      </c>
    </row>
    <row r="190" spans="1:3">
      <c r="A190" s="2">
        <v>550962.93000000005</v>
      </c>
      <c r="B190">
        <v>542631.91407177597</v>
      </c>
      <c r="C190">
        <v>8331.0159282240784</v>
      </c>
    </row>
    <row r="191" spans="1:3">
      <c r="A191" s="2">
        <v>806615.54</v>
      </c>
      <c r="B191">
        <v>798244.89726801147</v>
      </c>
      <c r="C191">
        <v>8370.6427319885697</v>
      </c>
    </row>
    <row r="192" spans="1:3">
      <c r="A192" s="2">
        <v>647953.78</v>
      </c>
      <c r="B192">
        <v>638391.30442894122</v>
      </c>
      <c r="C192">
        <v>9562.475571058807</v>
      </c>
    </row>
    <row r="193" spans="1:3">
      <c r="A193" s="2">
        <v>701641.97</v>
      </c>
      <c r="B193">
        <v>692018.00282641221</v>
      </c>
      <c r="C193">
        <v>9623.9671735877637</v>
      </c>
    </row>
    <row r="194" spans="1:3">
      <c r="A194" s="2">
        <v>691113.62</v>
      </c>
      <c r="B194">
        <v>680681.97925741842</v>
      </c>
      <c r="C194">
        <v>10431.640742581571</v>
      </c>
    </row>
    <row r="195" spans="1:3">
      <c r="A195" s="2">
        <v>727227.2</v>
      </c>
      <c r="B195">
        <v>715378.46265991195</v>
      </c>
      <c r="C195">
        <v>11848.737340088002</v>
      </c>
    </row>
    <row r="196" spans="1:3">
      <c r="A196" s="2">
        <v>565810.99</v>
      </c>
      <c r="B196">
        <v>553646.44033466792</v>
      </c>
      <c r="C196">
        <v>12164.549665332073</v>
      </c>
    </row>
    <row r="197" spans="1:3">
      <c r="A197" s="2">
        <v>738548.42</v>
      </c>
      <c r="B197">
        <v>726295.75120755041</v>
      </c>
      <c r="C197">
        <v>12252.668792449636</v>
      </c>
    </row>
    <row r="198" spans="1:3">
      <c r="A198" s="2">
        <v>670629.48</v>
      </c>
      <c r="B198">
        <v>658329.85492086399</v>
      </c>
      <c r="C198">
        <v>12299.625079135993</v>
      </c>
    </row>
    <row r="199" spans="1:3">
      <c r="A199" s="2">
        <v>633009.53</v>
      </c>
      <c r="B199">
        <v>620683.53415920585</v>
      </c>
      <c r="C199">
        <v>12325.995840794174</v>
      </c>
    </row>
    <row r="200" spans="1:3">
      <c r="A200" s="2">
        <v>593247.25</v>
      </c>
      <c r="B200">
        <v>580512.24633973127</v>
      </c>
      <c r="C200">
        <v>12735.003660268732</v>
      </c>
    </row>
    <row r="201" spans="1:3">
      <c r="A201" s="2">
        <v>842439.67</v>
      </c>
      <c r="B201">
        <v>829562.7127506847</v>
      </c>
      <c r="C201">
        <v>12876.957249315339</v>
      </c>
    </row>
    <row r="202" spans="1:3">
      <c r="A202" s="2">
        <v>922168.6</v>
      </c>
      <c r="B202">
        <v>909173.06123853696</v>
      </c>
      <c r="C202">
        <v>12995.538761463016</v>
      </c>
    </row>
    <row r="203" spans="1:3">
      <c r="A203" s="2">
        <v>763159.92</v>
      </c>
      <c r="B203">
        <v>749644.60576961713</v>
      </c>
      <c r="C203">
        <v>13515.314230382908</v>
      </c>
    </row>
    <row r="204" spans="1:3">
      <c r="A204" s="2">
        <v>569100.78</v>
      </c>
      <c r="B204">
        <v>555349.60061732435</v>
      </c>
      <c r="C204">
        <v>13751.179382675677</v>
      </c>
    </row>
    <row r="205" spans="1:3">
      <c r="A205" s="2">
        <v>533121.26</v>
      </c>
      <c r="B205">
        <v>519217.74447966798</v>
      </c>
      <c r="C205">
        <v>13903.515520332032</v>
      </c>
    </row>
    <row r="206" spans="1:3">
      <c r="A206" s="2">
        <v>668459.37</v>
      </c>
      <c r="B206">
        <v>654024.42819105519</v>
      </c>
      <c r="C206">
        <v>14434.941808944801</v>
      </c>
    </row>
    <row r="207" spans="1:3">
      <c r="A207" s="2">
        <v>641564.6</v>
      </c>
      <c r="B207">
        <v>627125.53024780657</v>
      </c>
      <c r="C207">
        <v>14439.069752193405</v>
      </c>
    </row>
    <row r="208" spans="1:3">
      <c r="A208" s="2">
        <v>586307.22</v>
      </c>
      <c r="B208">
        <v>571802.73415622336</v>
      </c>
      <c r="C208">
        <v>14504.485843776609</v>
      </c>
    </row>
    <row r="209" spans="1:3">
      <c r="A209" s="2">
        <v>771129.07</v>
      </c>
      <c r="B209">
        <v>756560.4967168736</v>
      </c>
      <c r="C209">
        <v>14568.573283126345</v>
      </c>
    </row>
    <row r="210" spans="1:3">
      <c r="A210" s="2">
        <v>836908.24</v>
      </c>
      <c r="B210">
        <v>822314.61399995582</v>
      </c>
      <c r="C210">
        <v>14593.626000044169</v>
      </c>
    </row>
    <row r="211" spans="1:3">
      <c r="A211" s="2">
        <v>712219.81</v>
      </c>
      <c r="B211">
        <v>697420.18021956016</v>
      </c>
      <c r="C211">
        <v>14799.629780439893</v>
      </c>
    </row>
    <row r="212" spans="1:3">
      <c r="A212" s="2">
        <v>783672.82</v>
      </c>
      <c r="B212">
        <v>768649.09048126463</v>
      </c>
      <c r="C212">
        <v>15023.729518735316</v>
      </c>
    </row>
    <row r="213" spans="1:3">
      <c r="A213" s="2">
        <v>820729.29</v>
      </c>
      <c r="B213">
        <v>805052.12469986477</v>
      </c>
      <c r="C213">
        <v>15677.165300135268</v>
      </c>
    </row>
    <row r="214" spans="1:3">
      <c r="A214" s="2">
        <v>778397.97</v>
      </c>
      <c r="B214">
        <v>762625.24125539279</v>
      </c>
      <c r="C214">
        <v>15772.728744607186</v>
      </c>
    </row>
    <row r="215" spans="1:3">
      <c r="A215" s="2">
        <v>528852.62</v>
      </c>
      <c r="B215">
        <v>511938.84318088298</v>
      </c>
      <c r="C215">
        <v>16913.776819117018</v>
      </c>
    </row>
    <row r="216" spans="1:3">
      <c r="A216" s="2">
        <v>646559.71</v>
      </c>
      <c r="B216">
        <v>628658.00810870097</v>
      </c>
      <c r="C216">
        <v>17901.701891298988</v>
      </c>
    </row>
    <row r="217" spans="1:3">
      <c r="A217" s="2">
        <v>849018.3</v>
      </c>
      <c r="B217">
        <v>830589.33630255016</v>
      </c>
      <c r="C217">
        <v>18428.963697449886</v>
      </c>
    </row>
    <row r="218" spans="1:3">
      <c r="A218" s="2">
        <v>714942.43</v>
      </c>
      <c r="B218">
        <v>696284.3430215891</v>
      </c>
      <c r="C218">
        <v>18658.086978410953</v>
      </c>
    </row>
    <row r="219" spans="1:3">
      <c r="A219" s="2">
        <v>745580.51</v>
      </c>
      <c r="B219">
        <v>725918.14102896512</v>
      </c>
      <c r="C219">
        <v>19662.368971034884</v>
      </c>
    </row>
    <row r="220" spans="1:3">
      <c r="A220" s="2">
        <v>769702.76</v>
      </c>
      <c r="B220">
        <v>749297.55689373985</v>
      </c>
      <c r="C220">
        <v>20405.20310626016</v>
      </c>
    </row>
    <row r="221" spans="1:3">
      <c r="A221" s="2">
        <v>574436.29</v>
      </c>
      <c r="B221">
        <v>554026.92365950346</v>
      </c>
      <c r="C221">
        <v>20409.366340496577</v>
      </c>
    </row>
    <row r="222" spans="1:3">
      <c r="A222" s="2">
        <v>802001.68</v>
      </c>
      <c r="B222">
        <v>781591.17771441734</v>
      </c>
      <c r="C222">
        <v>20410.502285582712</v>
      </c>
    </row>
    <row r="223" spans="1:3">
      <c r="A223" s="2">
        <v>622892.42000000004</v>
      </c>
      <c r="B223">
        <v>601961.06283376692</v>
      </c>
      <c r="C223">
        <v>20931.357166233123</v>
      </c>
    </row>
    <row r="224" spans="1:3">
      <c r="A224" s="2">
        <v>676337.41</v>
      </c>
      <c r="B224">
        <v>655201.4983133151</v>
      </c>
      <c r="C224">
        <v>21135.911686684936</v>
      </c>
    </row>
    <row r="225" spans="1:3">
      <c r="A225" s="2">
        <v>609949</v>
      </c>
      <c r="B225">
        <v>588599.92377975339</v>
      </c>
      <c r="C225">
        <v>21349.076220246614</v>
      </c>
    </row>
    <row r="226" spans="1:3">
      <c r="A226" s="2">
        <v>654317.09</v>
      </c>
      <c r="B226">
        <v>630973.80696318753</v>
      </c>
      <c r="C226">
        <v>23343.283036812441</v>
      </c>
    </row>
    <row r="227" spans="1:3">
      <c r="A227" s="2">
        <v>780344.18</v>
      </c>
      <c r="B227">
        <v>756939.90950321138</v>
      </c>
      <c r="C227">
        <v>23404.270496788668</v>
      </c>
    </row>
    <row r="228" spans="1:3">
      <c r="A228" s="2">
        <v>625993.82999999996</v>
      </c>
      <c r="B228">
        <v>602378.75148246903</v>
      </c>
      <c r="C228">
        <v>23615.078517530928</v>
      </c>
    </row>
    <row r="229" spans="1:3">
      <c r="A229" s="2">
        <v>674289.1</v>
      </c>
      <c r="B229">
        <v>650522.16442806285</v>
      </c>
      <c r="C229">
        <v>23766.935571937123</v>
      </c>
    </row>
    <row r="230" spans="1:3">
      <c r="A230" s="2">
        <v>767792.94</v>
      </c>
      <c r="B230">
        <v>743741.21979284089</v>
      </c>
      <c r="C230">
        <v>24051.720207159058</v>
      </c>
    </row>
    <row r="231" spans="1:3">
      <c r="A231" s="2">
        <v>664162.49</v>
      </c>
      <c r="B231">
        <v>639067.57848483825</v>
      </c>
      <c r="C231">
        <v>25094.911515161744</v>
      </c>
    </row>
    <row r="232" spans="1:3">
      <c r="A232" s="2">
        <v>735480.19</v>
      </c>
      <c r="B232">
        <v>709927.38324135123</v>
      </c>
      <c r="C232">
        <v>25552.806758648716</v>
      </c>
    </row>
    <row r="233" spans="1:3">
      <c r="A233" s="2">
        <v>691112.6</v>
      </c>
      <c r="B233">
        <v>665138.05863346474</v>
      </c>
      <c r="C233">
        <v>25974.541366535239</v>
      </c>
    </row>
    <row r="234" spans="1:3">
      <c r="A234" s="2">
        <v>740496.65</v>
      </c>
      <c r="B234">
        <v>714472.0633685753</v>
      </c>
      <c r="C234">
        <v>26024.586631424725</v>
      </c>
    </row>
    <row r="235" spans="1:3">
      <c r="A235" s="2">
        <v>740102.64</v>
      </c>
      <c r="B235">
        <v>712429.91020971141</v>
      </c>
      <c r="C235">
        <v>27672.729790288606</v>
      </c>
    </row>
    <row r="236" spans="1:3">
      <c r="A236" s="2">
        <v>776992.93</v>
      </c>
      <c r="B236">
        <v>748808.73089846747</v>
      </c>
      <c r="C236">
        <v>28184.199101532577</v>
      </c>
    </row>
    <row r="237" spans="1:3">
      <c r="A237" s="2">
        <v>828623.85</v>
      </c>
      <c r="B237">
        <v>800386.55355675216</v>
      </c>
      <c r="C237">
        <v>28237.296443247818</v>
      </c>
    </row>
    <row r="238" spans="1:3">
      <c r="A238" s="2">
        <v>724216.07</v>
      </c>
      <c r="B238">
        <v>695720.99246485194</v>
      </c>
      <c r="C238">
        <v>28495.077535148012</v>
      </c>
    </row>
    <row r="239" spans="1:3">
      <c r="A239" s="2">
        <v>665342.49</v>
      </c>
      <c r="B239">
        <v>636839.02223763661</v>
      </c>
      <c r="C239">
        <v>28503.467762363376</v>
      </c>
    </row>
    <row r="240" spans="1:3">
      <c r="A240" s="2">
        <v>739852.58</v>
      </c>
      <c r="B240">
        <v>709800.16731928149</v>
      </c>
      <c r="C240">
        <v>30052.412680718466</v>
      </c>
    </row>
    <row r="241" spans="1:3">
      <c r="A241" s="2">
        <v>561597.32999999996</v>
      </c>
      <c r="B241">
        <v>531318.9560052926</v>
      </c>
      <c r="C241">
        <v>30278.373994707363</v>
      </c>
    </row>
    <row r="242" spans="1:3">
      <c r="A242" s="2">
        <v>615966.48</v>
      </c>
      <c r="B242">
        <v>585030.35926897184</v>
      </c>
      <c r="C242">
        <v>30936.120731028146</v>
      </c>
    </row>
    <row r="243" spans="1:3">
      <c r="A243" s="2">
        <v>714083.68</v>
      </c>
      <c r="B243">
        <v>682381.23956465046</v>
      </c>
      <c r="C243">
        <v>31702.440435349592</v>
      </c>
    </row>
    <row r="244" spans="1:3">
      <c r="A244" s="2">
        <v>812152.6</v>
      </c>
      <c r="B244">
        <v>780322.82411793247</v>
      </c>
      <c r="C244">
        <v>31829.775882067508</v>
      </c>
    </row>
    <row r="245" spans="1:3">
      <c r="A245" s="2">
        <v>674774.09</v>
      </c>
      <c r="B245">
        <v>641385.09828499716</v>
      </c>
      <c r="C245">
        <v>33388.991715002805</v>
      </c>
    </row>
    <row r="246" spans="1:3">
      <c r="A246" s="2">
        <v>764949</v>
      </c>
      <c r="B246">
        <v>729620.63692216331</v>
      </c>
      <c r="C246">
        <v>35328.363077836693</v>
      </c>
    </row>
    <row r="247" spans="1:3">
      <c r="A247" s="2">
        <v>825797.91</v>
      </c>
      <c r="B247">
        <v>789777.54450114619</v>
      </c>
      <c r="C247">
        <v>36020.365498853847</v>
      </c>
    </row>
    <row r="248" spans="1:3">
      <c r="A248" s="2">
        <v>614800.09</v>
      </c>
      <c r="B248">
        <v>577853.80808077555</v>
      </c>
      <c r="C248">
        <v>36946.281919224421</v>
      </c>
    </row>
    <row r="249" spans="1:3">
      <c r="A249" s="2">
        <v>781955.52</v>
      </c>
      <c r="B249">
        <v>744954.1556644158</v>
      </c>
      <c r="C249">
        <v>37001.364335584221</v>
      </c>
    </row>
    <row r="250" spans="1:3">
      <c r="A250" s="2">
        <v>695098.51</v>
      </c>
      <c r="B250">
        <v>657998.52398266818</v>
      </c>
      <c r="C250">
        <v>37099.98601733183</v>
      </c>
    </row>
    <row r="251" spans="1:3">
      <c r="A251" s="2">
        <v>682639.28</v>
      </c>
      <c r="B251">
        <v>644981.74838084821</v>
      </c>
      <c r="C251">
        <v>37657.531619151821</v>
      </c>
    </row>
    <row r="252" spans="1:3">
      <c r="A252" s="2">
        <v>592195.85</v>
      </c>
      <c r="B252">
        <v>554402.37922620494</v>
      </c>
      <c r="C252">
        <v>37793.470773795038</v>
      </c>
    </row>
    <row r="253" spans="1:3">
      <c r="A253" s="2">
        <v>606278.30000000005</v>
      </c>
      <c r="B253">
        <v>567857.16463411506</v>
      </c>
      <c r="C253">
        <v>38421.135365884984</v>
      </c>
    </row>
    <row r="254" spans="1:3">
      <c r="A254" s="2">
        <v>776922.17</v>
      </c>
      <c r="B254">
        <v>738498.76993311441</v>
      </c>
      <c r="C254">
        <v>38423.400066885632</v>
      </c>
    </row>
    <row r="255" spans="1:3">
      <c r="A255" s="2">
        <v>820593.93</v>
      </c>
      <c r="B255">
        <v>781995.77853688668</v>
      </c>
      <c r="C255">
        <v>38598.151463113376</v>
      </c>
    </row>
    <row r="256" spans="1:3">
      <c r="A256" s="2">
        <v>720079.54</v>
      </c>
      <c r="B256">
        <v>681333.04330686957</v>
      </c>
      <c r="C256">
        <v>38746.496693130466</v>
      </c>
    </row>
    <row r="257" spans="1:3">
      <c r="A257" s="2">
        <v>606783.67000000004</v>
      </c>
      <c r="B257">
        <v>567865.10373988457</v>
      </c>
      <c r="C257">
        <v>38918.566260115476</v>
      </c>
    </row>
    <row r="258" spans="1:3">
      <c r="A258" s="2">
        <v>647512.85</v>
      </c>
      <c r="B258">
        <v>608563.75441985682</v>
      </c>
      <c r="C258">
        <v>38949.095580143156</v>
      </c>
    </row>
    <row r="259" spans="1:3">
      <c r="A259" s="2">
        <v>712868.35</v>
      </c>
      <c r="B259">
        <v>673492.30216339766</v>
      </c>
      <c r="C259">
        <v>39376.047836602316</v>
      </c>
    </row>
    <row r="260" spans="1:3">
      <c r="A260" s="2">
        <v>678311.17</v>
      </c>
      <c r="B260">
        <v>637044.72553815495</v>
      </c>
      <c r="C260">
        <v>41266.444461845094</v>
      </c>
    </row>
    <row r="261" spans="1:3">
      <c r="A261" s="2">
        <v>715097.57</v>
      </c>
      <c r="B261">
        <v>673497.54868503194</v>
      </c>
      <c r="C261">
        <v>41600.021314968006</v>
      </c>
    </row>
    <row r="262" spans="1:3">
      <c r="A262" s="2">
        <v>743348.84</v>
      </c>
      <c r="B262">
        <v>701696.30473842158</v>
      </c>
      <c r="C262">
        <v>41652.535261578392</v>
      </c>
    </row>
    <row r="263" spans="1:3">
      <c r="A263" s="2">
        <v>761860.19</v>
      </c>
      <c r="B263">
        <v>719225.94434971444</v>
      </c>
      <c r="C263">
        <v>42634.245650285506</v>
      </c>
    </row>
    <row r="264" spans="1:3">
      <c r="A264" s="2">
        <v>844710.67</v>
      </c>
      <c r="B264">
        <v>801686.63066269655</v>
      </c>
      <c r="C264">
        <v>43024.039337303489</v>
      </c>
    </row>
    <row r="265" spans="1:3">
      <c r="A265" s="2">
        <v>910791.94</v>
      </c>
      <c r="B265">
        <v>867610.97140318493</v>
      </c>
      <c r="C265">
        <v>43180.968596815015</v>
      </c>
    </row>
    <row r="266" spans="1:3">
      <c r="A266" s="2">
        <v>712375.77</v>
      </c>
      <c r="B266">
        <v>668351.12960325216</v>
      </c>
      <c r="C266">
        <v>44024.640396747855</v>
      </c>
    </row>
    <row r="267" spans="1:3">
      <c r="A267" s="2">
        <v>725847.99</v>
      </c>
      <c r="B267">
        <v>678690.51114612643</v>
      </c>
      <c r="C267">
        <v>47157.478853873559</v>
      </c>
    </row>
    <row r="268" spans="1:3">
      <c r="A268" s="2">
        <v>529598.93999999994</v>
      </c>
      <c r="B268">
        <v>482371.71757722372</v>
      </c>
      <c r="C268">
        <v>47227.22242277622</v>
      </c>
    </row>
    <row r="269" spans="1:3">
      <c r="A269" s="2">
        <v>762328.31</v>
      </c>
      <c r="B269">
        <v>714741.03915581037</v>
      </c>
      <c r="C269">
        <v>47587.270844189683</v>
      </c>
    </row>
    <row r="270" spans="1:3">
      <c r="A270" s="2">
        <v>870937.4</v>
      </c>
      <c r="B270">
        <v>823050.30234461348</v>
      </c>
      <c r="C270">
        <v>47887.097655386548</v>
      </c>
    </row>
    <row r="271" spans="1:3">
      <c r="A271" s="2">
        <v>739374.56</v>
      </c>
      <c r="B271">
        <v>691133.0353035013</v>
      </c>
      <c r="C271">
        <v>48241.52469649876</v>
      </c>
    </row>
    <row r="272" spans="1:3">
      <c r="A272" s="2">
        <v>776110.32</v>
      </c>
      <c r="B272">
        <v>727261.40951850463</v>
      </c>
      <c r="C272">
        <v>48848.910481495317</v>
      </c>
    </row>
    <row r="273" spans="1:3">
      <c r="A273" s="2">
        <v>636613.23</v>
      </c>
      <c r="B273">
        <v>587736.03266304603</v>
      </c>
      <c r="C273">
        <v>48877.197336953948</v>
      </c>
    </row>
    <row r="274" spans="1:3">
      <c r="A274" s="2">
        <v>804975.5</v>
      </c>
      <c r="B274">
        <v>755734.71714557498</v>
      </c>
      <c r="C274">
        <v>49240.782854425022</v>
      </c>
    </row>
    <row r="275" spans="1:3">
      <c r="A275" s="2">
        <v>605023.87</v>
      </c>
      <c r="B275">
        <v>555552.33200933121</v>
      </c>
      <c r="C275">
        <v>49471.537990668789</v>
      </c>
    </row>
    <row r="276" spans="1:3">
      <c r="A276" s="2">
        <v>691447.43</v>
      </c>
      <c r="B276">
        <v>641018.7186229541</v>
      </c>
      <c r="C276">
        <v>50428.711377045955</v>
      </c>
    </row>
    <row r="277" spans="1:3">
      <c r="A277" s="2">
        <v>720852.5</v>
      </c>
      <c r="B277">
        <v>670333.86179078964</v>
      </c>
      <c r="C277">
        <v>50518.638209210359</v>
      </c>
    </row>
    <row r="278" spans="1:3">
      <c r="A278" s="2">
        <v>727957.48</v>
      </c>
      <c r="B278">
        <v>676953.84421492671</v>
      </c>
      <c r="C278">
        <v>51003.635785073275</v>
      </c>
    </row>
    <row r="279" spans="1:3">
      <c r="A279" s="2">
        <v>773815.14</v>
      </c>
      <c r="B279">
        <v>721291.32640637015</v>
      </c>
      <c r="C279">
        <v>52523.813593629864</v>
      </c>
    </row>
    <row r="280" spans="1:3">
      <c r="A280" s="2">
        <v>758827.64</v>
      </c>
      <c r="B280">
        <v>705566.10738931468</v>
      </c>
      <c r="C280">
        <v>53261.532610685332</v>
      </c>
    </row>
    <row r="281" spans="1:3">
      <c r="A281" s="2">
        <v>675177.68</v>
      </c>
      <c r="B281">
        <v>620648.76509532938</v>
      </c>
      <c r="C281">
        <v>54528.914904670673</v>
      </c>
    </row>
    <row r="282" spans="1:3">
      <c r="A282" s="2">
        <v>696744.15</v>
      </c>
      <c r="B282">
        <v>641446.4649619608</v>
      </c>
      <c r="C282">
        <v>55297.685038039228</v>
      </c>
    </row>
    <row r="283" spans="1:3">
      <c r="A283" s="2">
        <v>686737.87</v>
      </c>
      <c r="B283">
        <v>631375.38371174783</v>
      </c>
      <c r="C283">
        <v>55362.48628825217</v>
      </c>
    </row>
    <row r="284" spans="1:3">
      <c r="A284" s="2">
        <v>753473.55</v>
      </c>
      <c r="B284">
        <v>696467.05539226555</v>
      </c>
      <c r="C284">
        <v>57006.494607734494</v>
      </c>
    </row>
    <row r="285" spans="1:3">
      <c r="A285" s="2">
        <v>746677.75</v>
      </c>
      <c r="B285">
        <v>689339.29939065804</v>
      </c>
      <c r="C285">
        <v>57338.450609341962</v>
      </c>
    </row>
    <row r="286" spans="1:3">
      <c r="A286" s="2">
        <v>635181.35</v>
      </c>
      <c r="B286">
        <v>575793.37512300373</v>
      </c>
      <c r="C286">
        <v>59387.974876996246</v>
      </c>
    </row>
    <row r="287" spans="1:3">
      <c r="A287" s="2">
        <v>658072.14</v>
      </c>
      <c r="B287">
        <v>596445.75650675956</v>
      </c>
      <c r="C287">
        <v>61626.383493240457</v>
      </c>
    </row>
    <row r="288" spans="1:3">
      <c r="A288" s="2">
        <v>842157.92</v>
      </c>
      <c r="B288">
        <v>780107.48033420939</v>
      </c>
      <c r="C288">
        <v>62050.439665790647</v>
      </c>
    </row>
    <row r="289" spans="1:3">
      <c r="A289" s="2">
        <v>715890.53</v>
      </c>
      <c r="B289">
        <v>653475.37682396104</v>
      </c>
      <c r="C289">
        <v>62415.153176038992</v>
      </c>
    </row>
    <row r="290" spans="1:3">
      <c r="A290" s="2">
        <v>677640.65</v>
      </c>
      <c r="B290">
        <v>613842.67927635857</v>
      </c>
      <c r="C290">
        <v>63797.970723641454</v>
      </c>
    </row>
    <row r="291" spans="1:3">
      <c r="A291" s="2">
        <v>673348.56</v>
      </c>
      <c r="B291">
        <v>607980.17456155806</v>
      </c>
      <c r="C291">
        <v>65368.385438441997</v>
      </c>
    </row>
    <row r="292" spans="1:3">
      <c r="A292" s="2">
        <v>813316.71</v>
      </c>
      <c r="B292">
        <v>747016.50216994737</v>
      </c>
      <c r="C292">
        <v>66300.20783005259</v>
      </c>
    </row>
    <row r="293" spans="1:3">
      <c r="A293" s="2">
        <v>657429.18000000005</v>
      </c>
      <c r="B293">
        <v>590651.00711373985</v>
      </c>
      <c r="C293">
        <v>66778.172886260203</v>
      </c>
    </row>
    <row r="294" spans="1:3">
      <c r="A294" s="2">
        <v>778298.88</v>
      </c>
      <c r="B294">
        <v>709168.89812003216</v>
      </c>
      <c r="C294">
        <v>69129.981879967847</v>
      </c>
    </row>
    <row r="295" spans="1:3">
      <c r="A295" s="2">
        <v>661927.14</v>
      </c>
      <c r="B295">
        <v>592726.87459001422</v>
      </c>
      <c r="C295">
        <v>69200.26540998579</v>
      </c>
    </row>
    <row r="296" spans="1:3">
      <c r="A296" s="2">
        <v>620973.03</v>
      </c>
      <c r="B296">
        <v>551251.46602474293</v>
      </c>
      <c r="C296">
        <v>69721.563975257101</v>
      </c>
    </row>
    <row r="297" spans="1:3">
      <c r="A297" s="2">
        <v>749559.71</v>
      </c>
      <c r="B297">
        <v>677644.56026408763</v>
      </c>
      <c r="C297">
        <v>71915.149735912331</v>
      </c>
    </row>
    <row r="298" spans="1:3">
      <c r="A298" s="2">
        <v>873380.02</v>
      </c>
      <c r="B298">
        <v>801394.54841269972</v>
      </c>
      <c r="C298">
        <v>71985.471587300301</v>
      </c>
    </row>
    <row r="299" spans="1:3">
      <c r="A299" s="2">
        <v>795464.47</v>
      </c>
      <c r="B299">
        <v>721090.1297124821</v>
      </c>
      <c r="C299">
        <v>74374.340287517873</v>
      </c>
    </row>
    <row r="300" spans="1:3">
      <c r="A300" s="2">
        <v>682208.01</v>
      </c>
      <c r="B300">
        <v>607786.78484494775</v>
      </c>
      <c r="C300">
        <v>74421.225155052263</v>
      </c>
    </row>
    <row r="301" spans="1:3">
      <c r="A301" s="2">
        <v>723305.11</v>
      </c>
      <c r="B301">
        <v>648149.94336892094</v>
      </c>
      <c r="C301">
        <v>75155.166631079046</v>
      </c>
    </row>
    <row r="302" spans="1:3">
      <c r="A302" s="2">
        <v>735786.64</v>
      </c>
      <c r="B302">
        <v>655923.73520861333</v>
      </c>
      <c r="C302">
        <v>79862.904791386682</v>
      </c>
    </row>
    <row r="303" spans="1:3">
      <c r="A303" s="2">
        <v>838250.32</v>
      </c>
      <c r="B303">
        <v>757811.88222097815</v>
      </c>
      <c r="C303">
        <v>80438.437779021799</v>
      </c>
    </row>
    <row r="304" spans="1:3">
      <c r="A304" s="2">
        <v>840108.12</v>
      </c>
      <c r="B304">
        <v>758653.61786977295</v>
      </c>
      <c r="C304">
        <v>81454.502130227047</v>
      </c>
    </row>
    <row r="305" spans="1:3">
      <c r="A305" s="2">
        <v>780580.95</v>
      </c>
      <c r="B305">
        <v>698967.44896659721</v>
      </c>
      <c r="C305">
        <v>81613.501033402747</v>
      </c>
    </row>
    <row r="306" spans="1:3">
      <c r="A306" s="2">
        <v>898031.04</v>
      </c>
      <c r="B306">
        <v>816328.93174484058</v>
      </c>
      <c r="C306">
        <v>81702.108255159459</v>
      </c>
    </row>
    <row r="307" spans="1:3">
      <c r="A307" s="2">
        <v>820519.04</v>
      </c>
      <c r="B307">
        <v>737322.54783165513</v>
      </c>
      <c r="C307">
        <v>83196.492168344907</v>
      </c>
    </row>
    <row r="308" spans="1:3">
      <c r="A308" s="2">
        <v>788087.68</v>
      </c>
      <c r="B308">
        <v>703912.98295622237</v>
      </c>
      <c r="C308">
        <v>84174.697043777676</v>
      </c>
    </row>
    <row r="309" spans="1:3">
      <c r="A309" s="2">
        <v>850164.26</v>
      </c>
      <c r="B309">
        <v>764469.28416329692</v>
      </c>
      <c r="C309">
        <v>85694.975836703088</v>
      </c>
    </row>
    <row r="310" spans="1:3">
      <c r="A310" s="2">
        <v>735509.4</v>
      </c>
      <c r="B310">
        <v>649359.04486445163</v>
      </c>
      <c r="C310">
        <v>86150.355135548394</v>
      </c>
    </row>
    <row r="311" spans="1:3">
      <c r="A311" s="2">
        <v>914544.17</v>
      </c>
      <c r="B311">
        <v>828005.59867959586</v>
      </c>
      <c r="C311">
        <v>86538.571320404182</v>
      </c>
    </row>
    <row r="312" spans="1:3">
      <c r="A312" s="2">
        <v>799046.94</v>
      </c>
      <c r="B312">
        <v>711849.14001789805</v>
      </c>
      <c r="C312">
        <v>87197.799982101889</v>
      </c>
    </row>
    <row r="313" spans="1:3">
      <c r="A313" s="2">
        <v>727241.86</v>
      </c>
      <c r="B313">
        <v>639417.2782659363</v>
      </c>
      <c r="C313">
        <v>87824.581734063686</v>
      </c>
    </row>
    <row r="314" spans="1:3">
      <c r="A314" s="2">
        <v>930581.7</v>
      </c>
      <c r="B314">
        <v>842573.02710668382</v>
      </c>
      <c r="C314">
        <v>88008.672893316136</v>
      </c>
    </row>
    <row r="315" spans="1:3">
      <c r="A315" s="2">
        <v>783582</v>
      </c>
      <c r="B315">
        <v>693727.98355336534</v>
      </c>
      <c r="C315">
        <v>89854.016446634661</v>
      </c>
    </row>
    <row r="316" spans="1:3">
      <c r="A316" s="2">
        <v>765906.95</v>
      </c>
      <c r="B316">
        <v>669314.99855170364</v>
      </c>
      <c r="C316">
        <v>96591.951448296313</v>
      </c>
    </row>
    <row r="317" spans="1:3">
      <c r="A317" s="2">
        <v>787715.51</v>
      </c>
      <c r="B317">
        <v>686618.67899468273</v>
      </c>
      <c r="C317">
        <v>101096.83100531728</v>
      </c>
    </row>
    <row r="318" spans="1:3">
      <c r="A318" s="2">
        <v>795153.84</v>
      </c>
      <c r="B318">
        <v>692615.36464938114</v>
      </c>
      <c r="C318">
        <v>102538.47535061883</v>
      </c>
    </row>
    <row r="319" spans="1:3">
      <c r="A319" s="2">
        <v>763162.45</v>
      </c>
      <c r="B319">
        <v>653354.0744844717</v>
      </c>
      <c r="C319">
        <v>109808.37551552826</v>
      </c>
    </row>
    <row r="320" spans="1:3">
      <c r="A320" s="2">
        <v>625514.04</v>
      </c>
      <c r="B320">
        <v>510669.53433263476</v>
      </c>
      <c r="C320">
        <v>114844.50566736527</v>
      </c>
    </row>
    <row r="321" spans="1:3">
      <c r="A321" s="2">
        <v>713611.16</v>
      </c>
      <c r="B321">
        <v>595355.11435669765</v>
      </c>
      <c r="C321">
        <v>118256.04564330238</v>
      </c>
    </row>
  </sheetData>
  <autoFilter ref="A1:C321">
    <sortState ref="A2:C321">
      <sortCondition ref="C1:C321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F9" sqref="F9"/>
    </sheetView>
  </sheetViews>
  <sheetFormatPr defaultRowHeight="14"/>
  <cols>
    <col min="1" max="1" width="12" customWidth="1"/>
    <col min="2" max="2" width="16" customWidth="1"/>
    <col min="3" max="3" width="21.33203125" customWidth="1"/>
    <col min="4" max="4" width="7.83203125" customWidth="1"/>
    <col min="5" max="5" width="12.9140625" customWidth="1"/>
    <col min="6" max="6" width="31.33203125" customWidth="1"/>
    <col min="7" max="7" width="40.75" customWidth="1"/>
    <col min="8" max="8" width="60.5" customWidth="1"/>
  </cols>
  <sheetData>
    <row r="1" spans="1:8" ht="25.5" thickBot="1">
      <c r="A1" s="13" t="s">
        <v>171</v>
      </c>
      <c r="B1" s="12"/>
    </row>
    <row r="2" spans="1:8" ht="28.5" thickBot="1">
      <c r="A2" s="25" t="s">
        <v>152</v>
      </c>
      <c r="B2" s="26" t="s">
        <v>153</v>
      </c>
      <c r="C2" s="27" t="s">
        <v>154</v>
      </c>
      <c r="D2" s="24" t="s">
        <v>155</v>
      </c>
      <c r="E2" s="24" t="s">
        <v>156</v>
      </c>
      <c r="F2" s="24" t="s">
        <v>157</v>
      </c>
      <c r="G2" s="24" t="s">
        <v>158</v>
      </c>
      <c r="H2" s="24" t="s">
        <v>159</v>
      </c>
    </row>
    <row r="3" spans="1:8" ht="56.5" customHeight="1">
      <c r="A3" s="23" t="s">
        <v>160</v>
      </c>
      <c r="B3" s="23" t="s">
        <v>12</v>
      </c>
      <c r="C3" s="23" t="s">
        <v>4</v>
      </c>
      <c r="D3" s="11">
        <v>0.16724469112487</v>
      </c>
      <c r="E3" s="11">
        <v>0.16462596373847024</v>
      </c>
      <c r="F3" s="23" t="s">
        <v>4</v>
      </c>
      <c r="G3" s="23" t="s">
        <v>161</v>
      </c>
      <c r="H3" s="23" t="s">
        <v>162</v>
      </c>
    </row>
    <row r="4" spans="1:8" ht="41" customHeight="1">
      <c r="A4" s="23" t="s">
        <v>163</v>
      </c>
      <c r="B4" s="23" t="s">
        <v>12</v>
      </c>
      <c r="C4" s="23" t="s">
        <v>5</v>
      </c>
      <c r="D4" s="11">
        <v>0.73628534000331114</v>
      </c>
      <c r="E4" s="11">
        <v>0.73545604861967373</v>
      </c>
      <c r="F4" s="23" t="s">
        <v>5</v>
      </c>
      <c r="G4" s="23" t="s">
        <v>164</v>
      </c>
      <c r="H4" s="23" t="s">
        <v>165</v>
      </c>
    </row>
    <row r="5" spans="1:8" ht="89.5" customHeight="1">
      <c r="A5" s="23" t="s">
        <v>166</v>
      </c>
      <c r="B5" s="23" t="s">
        <v>12</v>
      </c>
      <c r="C5" s="23" t="s">
        <v>167</v>
      </c>
      <c r="D5" s="11">
        <v>0.78897082872479829</v>
      </c>
      <c r="E5" s="11">
        <v>0.80461632795947713</v>
      </c>
      <c r="F5" s="23" t="s">
        <v>170</v>
      </c>
      <c r="G5" s="23" t="s">
        <v>168</v>
      </c>
      <c r="H5" s="23" t="s">
        <v>169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4"/>
  <cols>
    <col min="1" max="2" width="28" customWidth="1"/>
  </cols>
  <sheetData>
    <row r="1" spans="1:2" ht="18.649999999999999" customHeight="1">
      <c r="A1" s="1" t="s">
        <v>102</v>
      </c>
      <c r="B1" s="1" t="s">
        <v>103</v>
      </c>
    </row>
    <row r="2" spans="1:2">
      <c r="A2" s="4" t="s">
        <v>0</v>
      </c>
      <c r="B2" s="4" t="s">
        <v>104</v>
      </c>
    </row>
    <row r="3" spans="1:2">
      <c r="A3" s="4" t="s">
        <v>1</v>
      </c>
      <c r="B3" s="4" t="s">
        <v>105</v>
      </c>
    </row>
    <row r="4" spans="1:2">
      <c r="A4" s="4" t="s">
        <v>2</v>
      </c>
      <c r="B4" s="4" t="s">
        <v>106</v>
      </c>
    </row>
    <row r="5" spans="1:2" ht="28">
      <c r="A5" s="4" t="s">
        <v>3</v>
      </c>
      <c r="B5" s="4" t="s">
        <v>107</v>
      </c>
    </row>
    <row r="6" spans="1:2" ht="28">
      <c r="A6" s="4" t="s">
        <v>4</v>
      </c>
      <c r="B6" s="4" t="s">
        <v>108</v>
      </c>
    </row>
    <row r="7" spans="1:2">
      <c r="A7" s="4" t="s">
        <v>5</v>
      </c>
      <c r="B7" s="4" t="s">
        <v>109</v>
      </c>
    </row>
    <row r="8" spans="1:2" ht="28">
      <c r="A8" s="4" t="s">
        <v>6</v>
      </c>
      <c r="B8" s="4" t="s">
        <v>110</v>
      </c>
    </row>
    <row r="9" spans="1:2">
      <c r="A9" s="4" t="s">
        <v>7</v>
      </c>
      <c r="B9" s="4" t="s">
        <v>111</v>
      </c>
    </row>
    <row r="10" spans="1:2" ht="28">
      <c r="A10" s="4" t="s">
        <v>8</v>
      </c>
      <c r="B10" s="4" t="s">
        <v>112</v>
      </c>
    </row>
    <row r="11" spans="1:2">
      <c r="A11" s="4" t="s">
        <v>9</v>
      </c>
      <c r="B11" s="4" t="s">
        <v>113</v>
      </c>
    </row>
    <row r="12" spans="1:2" ht="42">
      <c r="A12" s="4" t="s">
        <v>10</v>
      </c>
      <c r="B12" s="4" t="s">
        <v>114</v>
      </c>
    </row>
    <row r="13" spans="1:2">
      <c r="A13" s="4" t="s">
        <v>11</v>
      </c>
      <c r="B13" s="4" t="s">
        <v>115</v>
      </c>
    </row>
    <row r="14" spans="1:2" ht="28">
      <c r="A14" s="4" t="s">
        <v>12</v>
      </c>
      <c r="B14" s="4" t="s">
        <v>116</v>
      </c>
    </row>
    <row r="15" spans="1:2" ht="28">
      <c r="A15" s="4" t="s">
        <v>13</v>
      </c>
      <c r="B15" s="4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store_performance</vt:lpstr>
      <vt:lpstr>cleaned_data</vt:lpstr>
      <vt:lpstr>simple_regression_1</vt:lpstr>
      <vt:lpstr>simple_regression_2</vt:lpstr>
      <vt:lpstr>dummy_variables</vt:lpstr>
      <vt:lpstr>multiple_regression</vt:lpstr>
      <vt:lpstr>model_sheet</vt:lpstr>
      <vt:lpstr>predictions_and_residuals</vt:lpstr>
      <vt:lpstr>model_comparison_sheet</vt:lpstr>
      <vt:lpstr>data_dictionary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Aarti Parmar</dc:creator>
  <cp:lastModifiedBy>Aarti Parmar</cp:lastModifiedBy>
  <dcterms:created xsi:type="dcterms:W3CDTF">2026-06-27T02:29:15Z</dcterms:created>
  <dcterms:modified xsi:type="dcterms:W3CDTF">2026-06-27T06:42:44Z</dcterms:modified>
</cp:coreProperties>
</file>